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LARCOS\Desktop\Evaluating-Programming-Optimization-Techniques-in-C-and-Python--Impact-on-Energy-Consumption\"/>
    </mc:Choice>
  </mc:AlternateContent>
  <xr:revisionPtr revIDLastSave="0" documentId="13_ncr:1_{18880EE5-F050-4B35-8DDD-305C699C35F8}" xr6:coauthVersionLast="47" xr6:coauthVersionMax="47" xr10:uidLastSave="{00000000-0000-0000-0000-000000000000}"/>
  <bookViews>
    <workbookView xWindow="-120" yWindow="-120" windowWidth="38640" windowHeight="15720" firstSheet="7" activeTab="7" xr2:uid="{00000000-000D-0000-FFFF-FFFF00000000}"/>
  </bookViews>
  <sheets>
    <sheet name="Implementation" sheetId="3" r:id="rId1"/>
    <sheet name="Techniques" sheetId="24" r:id="rId2"/>
    <sheet name="C Impact of Technique" sheetId="33" r:id="rId3"/>
    <sheet name="C Technique results" sheetId="25" r:id="rId4"/>
    <sheet name="C Impact of Optimization" sheetId="34" r:id="rId5"/>
    <sheet name="C Optimization results" sheetId="26" r:id="rId6"/>
    <sheet name="Python Impact of Technique" sheetId="17" r:id="rId7"/>
    <sheet name="Python Technique results" sheetId="28" r:id="rId8"/>
    <sheet name="Python Impact of Optimization" sheetId="16" r:id="rId9"/>
    <sheet name="Python Optimization results" sheetId="29" r:id="rId10"/>
    <sheet name="Stats" sheetId="11" r:id="rId11"/>
    <sheet name="Technique results" sheetId="3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0" l="1"/>
  <c r="B4" i="28" a="1"/>
  <c r="B4" i="28"/>
  <c r="C4" i="28" a="1"/>
  <c r="C4" i="28"/>
  <c r="D4" i="28" a="1"/>
  <c r="D4" i="28"/>
  <c r="F4" i="28" a="1"/>
  <c r="F4" i="28"/>
  <c r="G4" i="28" a="1"/>
  <c r="G4" i="28"/>
  <c r="H4" i="28" a="1"/>
  <c r="H4" i="28"/>
  <c r="J4" i="28" s="1"/>
  <c r="Q7" i="17"/>
  <c r="Q8" i="17"/>
  <c r="R9" i="17"/>
  <c r="Q16" i="17"/>
  <c r="Q17" i="17"/>
  <c r="Q18" i="17"/>
  <c r="Q19" i="17"/>
  <c r="Q20" i="17"/>
  <c r="Q21" i="17"/>
  <c r="Q22" i="17"/>
  <c r="Q28" i="17"/>
  <c r="P29" i="17"/>
  <c r="Q30" i="17"/>
  <c r="P31" i="17"/>
  <c r="P32" i="17"/>
  <c r="T31" i="17" s="1"/>
  <c r="R33" i="17"/>
  <c r="Q34" i="17"/>
  <c r="R35" i="17"/>
  <c r="Q40" i="17"/>
  <c r="P41" i="17"/>
  <c r="Q42" i="17"/>
  <c r="Q43" i="17"/>
  <c r="P44" i="17"/>
  <c r="Q45" i="17"/>
  <c r="R46" i="17"/>
  <c r="R47" i="17"/>
  <c r="Q52" i="17"/>
  <c r="Q53" i="17"/>
  <c r="Q54" i="17"/>
  <c r="U53" i="17" s="1"/>
  <c r="Q55" i="17"/>
  <c r="P56" i="17"/>
  <c r="Q64" i="17"/>
  <c r="Q65" i="17"/>
  <c r="P66" i="17"/>
  <c r="P67" i="17"/>
  <c r="Q68" i="17"/>
  <c r="Q69" i="17"/>
  <c r="Q76" i="17"/>
  <c r="Q77" i="17"/>
  <c r="P78" i="17"/>
  <c r="Q79" i="17"/>
  <c r="P80" i="17"/>
  <c r="Q88" i="17"/>
  <c r="Q89" i="17"/>
  <c r="Q90" i="17"/>
  <c r="Q91" i="17"/>
  <c r="Q92" i="17"/>
  <c r="Q93" i="17"/>
  <c r="R94" i="17"/>
  <c r="C3" i="17"/>
  <c r="R3" i="17" s="1"/>
  <c r="P3" i="17"/>
  <c r="H48" i="30"/>
  <c r="G48" i="30"/>
  <c r="F48" i="30"/>
  <c r="H40" i="30"/>
  <c r="G40" i="30"/>
  <c r="F40" i="30"/>
  <c r="H57" i="30"/>
  <c r="G57" i="30"/>
  <c r="F57" i="30"/>
  <c r="H52" i="30"/>
  <c r="G52" i="30"/>
  <c r="F52" i="30"/>
  <c r="H36" i="30"/>
  <c r="G36" i="30"/>
  <c r="F36" i="30"/>
  <c r="H46" i="30"/>
  <c r="G46" i="30"/>
  <c r="F46" i="30"/>
  <c r="H49" i="30"/>
  <c r="G49" i="30"/>
  <c r="F49" i="30"/>
  <c r="H47" i="30"/>
  <c r="G47" i="30"/>
  <c r="F47" i="30"/>
  <c r="H58" i="30"/>
  <c r="G58" i="30"/>
  <c r="F58" i="30"/>
  <c r="H54" i="30"/>
  <c r="G54" i="30"/>
  <c r="F54" i="30"/>
  <c r="H56" i="30"/>
  <c r="G56" i="30"/>
  <c r="F56" i="30"/>
  <c r="H39" i="30"/>
  <c r="G39" i="30"/>
  <c r="F39" i="30"/>
  <c r="H44" i="30"/>
  <c r="G44" i="30"/>
  <c r="F44" i="30"/>
  <c r="H55" i="30"/>
  <c r="G55" i="30"/>
  <c r="F55" i="30"/>
  <c r="H50" i="30"/>
  <c r="G50" i="30"/>
  <c r="F50" i="30"/>
  <c r="H51" i="30"/>
  <c r="G51" i="30"/>
  <c r="F51" i="30"/>
  <c r="H53" i="30"/>
  <c r="G53" i="30"/>
  <c r="F53" i="30"/>
  <c r="H41" i="30"/>
  <c r="G41" i="30"/>
  <c r="F41" i="30"/>
  <c r="H43" i="30"/>
  <c r="G43" i="30"/>
  <c r="F43" i="30"/>
  <c r="H38" i="30"/>
  <c r="G38" i="30"/>
  <c r="F38" i="30"/>
  <c r="H33" i="30"/>
  <c r="G33" i="30"/>
  <c r="F33" i="30"/>
  <c r="H45" i="30"/>
  <c r="G45" i="30"/>
  <c r="F45" i="30"/>
  <c r="H34" i="30"/>
  <c r="G34" i="30"/>
  <c r="F34" i="30"/>
  <c r="H37" i="30"/>
  <c r="G37" i="30"/>
  <c r="F37" i="30"/>
  <c r="H42" i="30"/>
  <c r="G42" i="30"/>
  <c r="F42" i="30"/>
  <c r="H35" i="30"/>
  <c r="G35" i="30"/>
  <c r="F35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H5" i="30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F5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18" i="30"/>
  <c r="F19" i="30"/>
  <c r="F20" i="30"/>
  <c r="F21" i="30"/>
  <c r="F22" i="30"/>
  <c r="F23" i="30"/>
  <c r="F24" i="30"/>
  <c r="F25" i="30"/>
  <c r="F26" i="30"/>
  <c r="F27" i="30"/>
  <c r="F28" i="30"/>
  <c r="F29" i="30"/>
  <c r="F4" i="30"/>
  <c r="G4" i="30"/>
  <c r="G6" i="16"/>
  <c r="G13" i="16"/>
  <c r="G14" i="16"/>
  <c r="G25" i="16"/>
  <c r="G27" i="16"/>
  <c r="G30" i="16"/>
  <c r="G31" i="16"/>
  <c r="G37" i="16"/>
  <c r="G40" i="16"/>
  <c r="G49" i="16"/>
  <c r="G50" i="16"/>
  <c r="G52" i="16"/>
  <c r="G54" i="16"/>
  <c r="G55" i="16"/>
  <c r="G61" i="16"/>
  <c r="G64" i="16"/>
  <c r="G73" i="16"/>
  <c r="G74" i="16"/>
  <c r="G76" i="16"/>
  <c r="G78" i="16"/>
  <c r="G79" i="16"/>
  <c r="G85" i="16"/>
  <c r="G88" i="16"/>
  <c r="G3" i="16"/>
  <c r="C4" i="16"/>
  <c r="G4" i="16" s="1"/>
  <c r="C5" i="16"/>
  <c r="S5" i="16" s="1"/>
  <c r="C6" i="16"/>
  <c r="R6" i="16" s="1"/>
  <c r="C7" i="16"/>
  <c r="Q7" i="16" s="1"/>
  <c r="C8" i="16"/>
  <c r="Q8" i="16" s="1"/>
  <c r="C9" i="16"/>
  <c r="Q9" i="16" s="1"/>
  <c r="C10" i="16"/>
  <c r="Q10" i="16" s="1"/>
  <c r="C11" i="16"/>
  <c r="S11" i="16" s="1"/>
  <c r="C12" i="16"/>
  <c r="G12" i="16" s="1"/>
  <c r="C13" i="16"/>
  <c r="S13" i="16" s="1"/>
  <c r="C14" i="16"/>
  <c r="C15" i="16"/>
  <c r="R15" i="16" s="1"/>
  <c r="C16" i="16"/>
  <c r="G16" i="16" s="1"/>
  <c r="C17" i="16"/>
  <c r="R17" i="16" s="1"/>
  <c r="C18" i="16"/>
  <c r="S18" i="16" s="1"/>
  <c r="C19" i="16"/>
  <c r="Q19" i="16" s="1"/>
  <c r="C20" i="16"/>
  <c r="Q20" i="16" s="1"/>
  <c r="C21" i="16"/>
  <c r="Q21" i="16" s="1"/>
  <c r="C22" i="16"/>
  <c r="R22" i="16" s="1"/>
  <c r="C23" i="16"/>
  <c r="R23" i="16" s="1"/>
  <c r="C24" i="16"/>
  <c r="G24" i="16" s="1"/>
  <c r="C25" i="16"/>
  <c r="S25" i="16" s="1"/>
  <c r="C26" i="16"/>
  <c r="R26" i="16" s="1"/>
  <c r="C27" i="16"/>
  <c r="Q27" i="16" s="1"/>
  <c r="C28" i="16"/>
  <c r="G28" i="16" s="1"/>
  <c r="C29" i="16"/>
  <c r="R29" i="16" s="1"/>
  <c r="C30" i="16"/>
  <c r="S30" i="16" s="1"/>
  <c r="C31" i="16"/>
  <c r="Q31" i="16" s="1"/>
  <c r="C32" i="16"/>
  <c r="Q32" i="16" s="1"/>
  <c r="C33" i="16"/>
  <c r="Q33" i="16" s="1"/>
  <c r="C34" i="16"/>
  <c r="Q34" i="16" s="1"/>
  <c r="C35" i="16"/>
  <c r="R35" i="16" s="1"/>
  <c r="C36" i="16"/>
  <c r="G36" i="16" s="1"/>
  <c r="C37" i="16"/>
  <c r="Q37" i="16" s="1"/>
  <c r="C38" i="16"/>
  <c r="R38" i="16" s="1"/>
  <c r="C39" i="16"/>
  <c r="R39" i="16" s="1"/>
  <c r="C40" i="16"/>
  <c r="C41" i="16"/>
  <c r="R41" i="16" s="1"/>
  <c r="C42" i="16"/>
  <c r="S42" i="16" s="1"/>
  <c r="C43" i="16"/>
  <c r="Q43" i="16" s="1"/>
  <c r="C44" i="16"/>
  <c r="R44" i="16" s="1"/>
  <c r="C45" i="16"/>
  <c r="Q45" i="16" s="1"/>
  <c r="C46" i="16"/>
  <c r="R46" i="16" s="1"/>
  <c r="C47" i="16"/>
  <c r="S47" i="16" s="1"/>
  <c r="C48" i="16"/>
  <c r="G48" i="16" s="1"/>
  <c r="C49" i="16"/>
  <c r="S49" i="16" s="1"/>
  <c r="C50" i="16"/>
  <c r="Q50" i="16" s="1"/>
  <c r="C51" i="16"/>
  <c r="Q51" i="16" s="1"/>
  <c r="C52" i="16"/>
  <c r="Q52" i="16" s="1"/>
  <c r="C53" i="16"/>
  <c r="R53" i="16" s="1"/>
  <c r="C54" i="16"/>
  <c r="S54" i="16" s="1"/>
  <c r="C55" i="16"/>
  <c r="Q55" i="16" s="1"/>
  <c r="C56" i="16"/>
  <c r="Q56" i="16" s="1"/>
  <c r="C57" i="16"/>
  <c r="Q57" i="16" s="1"/>
  <c r="C58" i="16"/>
  <c r="Q58" i="16" s="1"/>
  <c r="C59" i="16"/>
  <c r="R59" i="16" s="1"/>
  <c r="C60" i="16"/>
  <c r="G60" i="16" s="1"/>
  <c r="C61" i="16"/>
  <c r="C62" i="16"/>
  <c r="G62" i="16" s="1"/>
  <c r="C63" i="16"/>
  <c r="S63" i="16" s="1"/>
  <c r="C64" i="16"/>
  <c r="C65" i="16"/>
  <c r="R65" i="16" s="1"/>
  <c r="C66" i="16"/>
  <c r="S66" i="16" s="1"/>
  <c r="C67" i="16"/>
  <c r="Q67" i="16" s="1"/>
  <c r="C68" i="16"/>
  <c r="Q68" i="16" s="1"/>
  <c r="C69" i="16"/>
  <c r="Q69" i="16" s="1"/>
  <c r="C70" i="16"/>
  <c r="Q70" i="16" s="1"/>
  <c r="C71" i="16"/>
  <c r="S71" i="16" s="1"/>
  <c r="C72" i="16"/>
  <c r="G72" i="16" s="1"/>
  <c r="C73" i="16"/>
  <c r="R73" i="16" s="1"/>
  <c r="C74" i="16"/>
  <c r="Q74" i="16" s="1"/>
  <c r="C75" i="16"/>
  <c r="Q75" i="16" s="1"/>
  <c r="C76" i="16"/>
  <c r="R76" i="16" s="1"/>
  <c r="C77" i="16"/>
  <c r="R77" i="16" s="1"/>
  <c r="C78" i="16"/>
  <c r="S78" i="16" s="1"/>
  <c r="C79" i="16"/>
  <c r="Q79" i="16" s="1"/>
  <c r="C80" i="16"/>
  <c r="Q80" i="16" s="1"/>
  <c r="C81" i="16"/>
  <c r="Q81" i="16" s="1"/>
  <c r="C82" i="16"/>
  <c r="R82" i="16" s="1"/>
  <c r="C83" i="16"/>
  <c r="S83" i="16" s="1"/>
  <c r="C84" i="16"/>
  <c r="G84" i="16" s="1"/>
  <c r="C85" i="16"/>
  <c r="C86" i="16"/>
  <c r="S86" i="16" s="1"/>
  <c r="C87" i="16"/>
  <c r="S87" i="16" s="1"/>
  <c r="C88" i="16"/>
  <c r="R88" i="16" s="1"/>
  <c r="C89" i="16"/>
  <c r="R89" i="16" s="1"/>
  <c r="C90" i="16"/>
  <c r="S90" i="16" s="1"/>
  <c r="C91" i="16"/>
  <c r="Q91" i="16" s="1"/>
  <c r="C92" i="16"/>
  <c r="Q92" i="16" s="1"/>
  <c r="C93" i="16"/>
  <c r="Q93" i="16" s="1"/>
  <c r="C94" i="16"/>
  <c r="Q94" i="16" s="1"/>
  <c r="C3" i="16"/>
  <c r="S3" i="16" s="1"/>
  <c r="S4" i="16"/>
  <c r="S6" i="16"/>
  <c r="S14" i="16"/>
  <c r="S15" i="16"/>
  <c r="S26" i="16"/>
  <c r="S27" i="16"/>
  <c r="S29" i="16"/>
  <c r="S36" i="16"/>
  <c r="S37" i="16"/>
  <c r="S40" i="16"/>
  <c r="S52" i="16"/>
  <c r="S61" i="16"/>
  <c r="S62" i="16"/>
  <c r="S64" i="16"/>
  <c r="S65" i="16"/>
  <c r="S72" i="16"/>
  <c r="S76" i="16"/>
  <c r="S77" i="16"/>
  <c r="S84" i="16"/>
  <c r="S85" i="16"/>
  <c r="S88" i="16"/>
  <c r="S89" i="16"/>
  <c r="R5" i="16"/>
  <c r="R13" i="16"/>
  <c r="R14" i="16"/>
  <c r="R16" i="16"/>
  <c r="R24" i="16"/>
  <c r="R25" i="16"/>
  <c r="R28" i="16"/>
  <c r="R40" i="16"/>
  <c r="R48" i="16"/>
  <c r="R52" i="16"/>
  <c r="R61" i="16"/>
  <c r="R62" i="16"/>
  <c r="R63" i="16"/>
  <c r="R64" i="16"/>
  <c r="R72" i="16"/>
  <c r="R85" i="16"/>
  <c r="Q4" i="16"/>
  <c r="Q5" i="16"/>
  <c r="Q13" i="16"/>
  <c r="Q14" i="16"/>
  <c r="Q16" i="16"/>
  <c r="Q17" i="16"/>
  <c r="Q25" i="16"/>
  <c r="Q26" i="16"/>
  <c r="Q38" i="16"/>
  <c r="Q40" i="16"/>
  <c r="Q41" i="16"/>
  <c r="Q42" i="16"/>
  <c r="Q48" i="16"/>
  <c r="Q61" i="16"/>
  <c r="Q62" i="16"/>
  <c r="Q64" i="16"/>
  <c r="Q65" i="16"/>
  <c r="Q72" i="16"/>
  <c r="Q76" i="16"/>
  <c r="Q84" i="16"/>
  <c r="Q85" i="16"/>
  <c r="Q87" i="16"/>
  <c r="Q88" i="16"/>
  <c r="R4" i="17"/>
  <c r="R5" i="17"/>
  <c r="R6" i="17"/>
  <c r="R7" i="17"/>
  <c r="R8" i="17"/>
  <c r="V7" i="17" s="1"/>
  <c r="R12" i="17"/>
  <c r="R13" i="17"/>
  <c r="R14" i="17"/>
  <c r="R15" i="17"/>
  <c r="R16" i="17"/>
  <c r="R17" i="17"/>
  <c r="R18" i="17"/>
  <c r="R19" i="17"/>
  <c r="R20" i="17"/>
  <c r="R24" i="17"/>
  <c r="R25" i="17"/>
  <c r="R26" i="17"/>
  <c r="V25" i="17" s="1"/>
  <c r="R27" i="17"/>
  <c r="R28" i="17"/>
  <c r="R29" i="17"/>
  <c r="R30" i="17"/>
  <c r="R31" i="17"/>
  <c r="R32" i="17"/>
  <c r="R36" i="17"/>
  <c r="R37" i="17"/>
  <c r="R38" i="17"/>
  <c r="R39" i="17"/>
  <c r="R40" i="17"/>
  <c r="R41" i="17"/>
  <c r="R42" i="17"/>
  <c r="R43" i="17"/>
  <c r="R44" i="17"/>
  <c r="R48" i="17"/>
  <c r="R49" i="17"/>
  <c r="R50" i="17"/>
  <c r="R51" i="17"/>
  <c r="R52" i="17"/>
  <c r="R53" i="17"/>
  <c r="R54" i="17"/>
  <c r="V53" i="17" s="1"/>
  <c r="R55" i="17"/>
  <c r="R56" i="17"/>
  <c r="V55" i="17" s="1"/>
  <c r="R57" i="17"/>
  <c r="R60" i="17"/>
  <c r="R61" i="17"/>
  <c r="R62" i="17"/>
  <c r="R63" i="17"/>
  <c r="R64" i="17"/>
  <c r="R65" i="17"/>
  <c r="R66" i="17"/>
  <c r="R67" i="17"/>
  <c r="R68" i="17"/>
  <c r="V67" i="17" s="1"/>
  <c r="R69" i="17"/>
  <c r="R72" i="17"/>
  <c r="R73" i="17"/>
  <c r="R74" i="17"/>
  <c r="R75" i="17"/>
  <c r="R76" i="17"/>
  <c r="R77" i="17"/>
  <c r="R78" i="17"/>
  <c r="R79" i="17"/>
  <c r="R80" i="17"/>
  <c r="R84" i="17"/>
  <c r="R85" i="17"/>
  <c r="R86" i="17"/>
  <c r="R87" i="17"/>
  <c r="R88" i="17"/>
  <c r="R89" i="17"/>
  <c r="R90" i="17"/>
  <c r="R91" i="17"/>
  <c r="R92" i="17"/>
  <c r="Q4" i="17"/>
  <c r="Q5" i="17"/>
  <c r="Q6" i="17"/>
  <c r="Q12" i="17"/>
  <c r="Q13" i="17"/>
  <c r="Q14" i="17"/>
  <c r="Q15" i="17"/>
  <c r="Q24" i="17"/>
  <c r="Q25" i="17"/>
  <c r="Q26" i="17"/>
  <c r="Q27" i="17"/>
  <c r="Q36" i="17"/>
  <c r="Q37" i="17"/>
  <c r="Q38" i="17"/>
  <c r="Q39" i="17"/>
  <c r="Q46" i="17"/>
  <c r="Q48" i="17"/>
  <c r="Q49" i="17"/>
  <c r="Q50" i="17"/>
  <c r="Q51" i="17"/>
  <c r="Q60" i="17"/>
  <c r="Q61" i="17"/>
  <c r="Q62" i="17"/>
  <c r="Q63" i="17"/>
  <c r="Q70" i="17"/>
  <c r="Q72" i="17"/>
  <c r="Q73" i="17"/>
  <c r="Q74" i="17"/>
  <c r="Q75" i="17"/>
  <c r="Q84" i="17"/>
  <c r="Q85" i="17"/>
  <c r="Q86" i="17"/>
  <c r="Q87" i="17"/>
  <c r="Q94" i="17"/>
  <c r="P14" i="17"/>
  <c r="P15" i="17"/>
  <c r="P20" i="17"/>
  <c r="P25" i="17"/>
  <c r="P27" i="17"/>
  <c r="P28" i="17"/>
  <c r="P50" i="17"/>
  <c r="P51" i="17"/>
  <c r="P61" i="17"/>
  <c r="P62" i="17"/>
  <c r="P63" i="17"/>
  <c r="P64" i="17"/>
  <c r="P68" i="17"/>
  <c r="P69" i="17"/>
  <c r="P86" i="17"/>
  <c r="P87" i="17"/>
  <c r="P4" i="17"/>
  <c r="P5" i="17"/>
  <c r="P6" i="17"/>
  <c r="P12" i="17"/>
  <c r="P13" i="17"/>
  <c r="P24" i="17"/>
  <c r="P26" i="17"/>
  <c r="P36" i="17"/>
  <c r="P37" i="17"/>
  <c r="P38" i="17"/>
  <c r="P39" i="17"/>
  <c r="P48" i="17"/>
  <c r="P49" i="17"/>
  <c r="P60" i="17"/>
  <c r="P72" i="17"/>
  <c r="P73" i="17"/>
  <c r="P74" i="17"/>
  <c r="P75" i="17"/>
  <c r="P84" i="17"/>
  <c r="P85" i="17"/>
  <c r="P7" i="17"/>
  <c r="P16" i="17"/>
  <c r="P17" i="17"/>
  <c r="P18" i="17"/>
  <c r="P19" i="17"/>
  <c r="P52" i="17"/>
  <c r="P53" i="17"/>
  <c r="P54" i="17"/>
  <c r="P55" i="17"/>
  <c r="P65" i="17"/>
  <c r="P76" i="17"/>
  <c r="P88" i="17"/>
  <c r="P89" i="17"/>
  <c r="P90" i="17"/>
  <c r="P91" i="17"/>
  <c r="Q60" i="16" l="1"/>
  <c r="Q24" i="16"/>
  <c r="R84" i="16"/>
  <c r="S48" i="16"/>
  <c r="G87" i="16"/>
  <c r="G63" i="16"/>
  <c r="G39" i="16"/>
  <c r="Q86" i="16"/>
  <c r="Q18" i="16"/>
  <c r="R36" i="16"/>
  <c r="S41" i="16"/>
  <c r="S12" i="16"/>
  <c r="G86" i="16"/>
  <c r="G38" i="16"/>
  <c r="G7" i="16"/>
  <c r="Q66" i="16"/>
  <c r="Q39" i="16"/>
  <c r="Q12" i="16"/>
  <c r="S28" i="16"/>
  <c r="G75" i="16"/>
  <c r="G51" i="16"/>
  <c r="G26" i="16"/>
  <c r="R60" i="16"/>
  <c r="G19" i="16"/>
  <c r="R12" i="16"/>
  <c r="Q63" i="16"/>
  <c r="R51" i="16"/>
  <c r="S24" i="16"/>
  <c r="G91" i="16"/>
  <c r="G67" i="16"/>
  <c r="G43" i="16"/>
  <c r="G18" i="16"/>
  <c r="Q36" i="16"/>
  <c r="Q28" i="16"/>
  <c r="Q89" i="16"/>
  <c r="R86" i="16"/>
  <c r="R50" i="16"/>
  <c r="R4" i="16"/>
  <c r="S60" i="16"/>
  <c r="S16" i="16"/>
  <c r="G90" i="16"/>
  <c r="G66" i="16"/>
  <c r="G42" i="16"/>
  <c r="G15" i="16"/>
  <c r="S51" i="16"/>
  <c r="R27" i="16"/>
  <c r="S75" i="16"/>
  <c r="S50" i="16"/>
  <c r="G89" i="16"/>
  <c r="G77" i="16"/>
  <c r="G65" i="16"/>
  <c r="G53" i="16"/>
  <c r="G41" i="16"/>
  <c r="G29" i="16"/>
  <c r="G17" i="16"/>
  <c r="G5" i="16"/>
  <c r="Q15" i="16"/>
  <c r="R87" i="16"/>
  <c r="S74" i="16"/>
  <c r="S17" i="16"/>
  <c r="S39" i="16"/>
  <c r="Q6" i="16"/>
  <c r="S38" i="16"/>
  <c r="G83" i="16"/>
  <c r="G71" i="16"/>
  <c r="G59" i="16"/>
  <c r="G47" i="16"/>
  <c r="G35" i="16"/>
  <c r="G23" i="16"/>
  <c r="G11" i="16"/>
  <c r="G94" i="16"/>
  <c r="G82" i="16"/>
  <c r="G70" i="16"/>
  <c r="G58" i="16"/>
  <c r="G46" i="16"/>
  <c r="G34" i="16"/>
  <c r="G10" i="16"/>
  <c r="R75" i="16"/>
  <c r="R74" i="16"/>
  <c r="G22" i="16"/>
  <c r="G93" i="16"/>
  <c r="G81" i="16"/>
  <c r="G69" i="16"/>
  <c r="G57" i="16"/>
  <c r="G45" i="16"/>
  <c r="G33" i="16"/>
  <c r="G21" i="16"/>
  <c r="G9" i="16"/>
  <c r="Q73" i="16"/>
  <c r="Q49" i="16"/>
  <c r="R37" i="16"/>
  <c r="S53" i="16"/>
  <c r="G92" i="16"/>
  <c r="G80" i="16"/>
  <c r="G68" i="16"/>
  <c r="G56" i="16"/>
  <c r="G44" i="16"/>
  <c r="G32" i="16"/>
  <c r="G20" i="16"/>
  <c r="G8" i="16"/>
  <c r="T85" i="17"/>
  <c r="T67" i="17"/>
  <c r="V61" i="17"/>
  <c r="V73" i="17"/>
  <c r="V37" i="17"/>
  <c r="V19" i="17"/>
  <c r="U89" i="17"/>
  <c r="T87" i="17"/>
  <c r="V17" i="17"/>
  <c r="V29" i="17"/>
  <c r="T73" i="17"/>
  <c r="T61" i="17"/>
  <c r="V89" i="17"/>
  <c r="V13" i="17"/>
  <c r="T5" i="17"/>
  <c r="U13" i="17"/>
  <c r="T55" i="17"/>
  <c r="T89" i="17"/>
  <c r="T15" i="17"/>
  <c r="T27" i="17"/>
  <c r="V85" i="17"/>
  <c r="V39" i="17"/>
  <c r="U17" i="17"/>
  <c r="T25" i="17"/>
  <c r="T63" i="17"/>
  <c r="V91" i="17"/>
  <c r="V15" i="17"/>
  <c r="U27" i="17"/>
  <c r="V87" i="17"/>
  <c r="V41" i="17"/>
  <c r="U21" i="17"/>
  <c r="U61" i="17"/>
  <c r="T3" i="17"/>
  <c r="U87" i="17"/>
  <c r="U39" i="17"/>
  <c r="U69" i="17"/>
  <c r="U85" i="17"/>
  <c r="T53" i="17"/>
  <c r="V79" i="17"/>
  <c r="V65" i="17"/>
  <c r="U15" i="17"/>
  <c r="U37" i="17"/>
  <c r="U93" i="17"/>
  <c r="U63" i="17"/>
  <c r="T19" i="17"/>
  <c r="U51" i="17"/>
  <c r="T75" i="17"/>
  <c r="U45" i="17"/>
  <c r="V77" i="17"/>
  <c r="V63" i="17"/>
  <c r="V49" i="17"/>
  <c r="V31" i="17"/>
  <c r="V5" i="17"/>
  <c r="U75" i="17"/>
  <c r="U7" i="17"/>
  <c r="P83" i="17"/>
  <c r="T83" i="17" s="1"/>
  <c r="R83" i="17"/>
  <c r="V83" i="17" s="1"/>
  <c r="R71" i="17"/>
  <c r="V71" i="17" s="1"/>
  <c r="P71" i="17"/>
  <c r="T71" i="17" s="1"/>
  <c r="R59" i="17"/>
  <c r="V59" i="17" s="1"/>
  <c r="P59" i="17"/>
  <c r="T59" i="17" s="1"/>
  <c r="R23" i="17"/>
  <c r="V23" i="17" s="1"/>
  <c r="P23" i="17"/>
  <c r="T23" i="17" s="1"/>
  <c r="R11" i="17"/>
  <c r="V11" i="17" s="1"/>
  <c r="P11" i="17"/>
  <c r="T11" i="17" s="1"/>
  <c r="R82" i="17"/>
  <c r="P82" i="17"/>
  <c r="R70" i="17"/>
  <c r="V69" i="17" s="1"/>
  <c r="P70" i="17"/>
  <c r="T69" i="17" s="1"/>
  <c r="R58" i="17"/>
  <c r="V57" i="17" s="1"/>
  <c r="P58" i="17"/>
  <c r="R10" i="17"/>
  <c r="V9" i="17" s="1"/>
  <c r="P10" i="17"/>
  <c r="Q10" i="17"/>
  <c r="P81" i="17"/>
  <c r="Q81" i="17"/>
  <c r="P57" i="17"/>
  <c r="Q57" i="17"/>
  <c r="P21" i="17"/>
  <c r="R81" i="17"/>
  <c r="U91" i="17"/>
  <c r="Q83" i="17"/>
  <c r="U83" i="17" s="1"/>
  <c r="Q59" i="17"/>
  <c r="U59" i="17" s="1"/>
  <c r="Q35" i="17"/>
  <c r="U35" i="17" s="1"/>
  <c r="Q11" i="17"/>
  <c r="U11" i="17" s="1"/>
  <c r="T65" i="17"/>
  <c r="T13" i="17"/>
  <c r="Q82" i="17"/>
  <c r="Q58" i="17"/>
  <c r="R93" i="17"/>
  <c r="V93" i="17" s="1"/>
  <c r="R21" i="17"/>
  <c r="P94" i="17"/>
  <c r="P47" i="17"/>
  <c r="T47" i="17" s="1"/>
  <c r="R22" i="17"/>
  <c r="P22" i="17"/>
  <c r="Q9" i="17"/>
  <c r="P9" i="17"/>
  <c r="P93" i="17"/>
  <c r="R45" i="17"/>
  <c r="V45" i="17" s="1"/>
  <c r="R34" i="17"/>
  <c r="V33" i="17" s="1"/>
  <c r="P34" i="17"/>
  <c r="Q33" i="17"/>
  <c r="U33" i="17" s="1"/>
  <c r="P33" i="17"/>
  <c r="U19" i="17"/>
  <c r="P46" i="17"/>
  <c r="P45" i="17"/>
  <c r="T17" i="17"/>
  <c r="P35" i="17"/>
  <c r="T35" i="17" s="1"/>
  <c r="Q71" i="17"/>
  <c r="U71" i="17" s="1"/>
  <c r="Q47" i="17"/>
  <c r="U47" i="17" s="1"/>
  <c r="Q23" i="17"/>
  <c r="U23" i="17" s="1"/>
  <c r="V43" i="17"/>
  <c r="P8" i="17"/>
  <c r="T7" i="17" s="1"/>
  <c r="P92" i="17"/>
  <c r="T91" i="17" s="1"/>
  <c r="P43" i="17"/>
  <c r="T43" i="17" s="1"/>
  <c r="Q80" i="17"/>
  <c r="U79" i="17" s="1"/>
  <c r="Q56" i="17"/>
  <c r="U55" i="17" s="1"/>
  <c r="Q44" i="17"/>
  <c r="U43" i="17" s="1"/>
  <c r="Q32" i="17"/>
  <c r="P79" i="17"/>
  <c r="T79" i="17" s="1"/>
  <c r="P42" i="17"/>
  <c r="T41" i="17" s="1"/>
  <c r="Q67" i="17"/>
  <c r="U67" i="17" s="1"/>
  <c r="Q31" i="17"/>
  <c r="V75" i="17"/>
  <c r="V51" i="17"/>
  <c r="V27" i="17"/>
  <c r="Q78" i="17"/>
  <c r="U77" i="17" s="1"/>
  <c r="P77" i="17"/>
  <c r="T77" i="17" s="1"/>
  <c r="P40" i="17"/>
  <c r="T39" i="17" s="1"/>
  <c r="Q41" i="17"/>
  <c r="U41" i="17" s="1"/>
  <c r="Q29" i="17"/>
  <c r="U29" i="17" s="1"/>
  <c r="V47" i="17"/>
  <c r="V35" i="17"/>
  <c r="P30" i="17"/>
  <c r="T29" i="17" s="1"/>
  <c r="T37" i="17"/>
  <c r="T51" i="17"/>
  <c r="Q66" i="17"/>
  <c r="U65" i="17" s="1"/>
  <c r="T49" i="17"/>
  <c r="U73" i="17"/>
  <c r="U49" i="17"/>
  <c r="U25" i="17"/>
  <c r="U5" i="17"/>
  <c r="Q3" i="17"/>
  <c r="U3" i="17"/>
  <c r="R49" i="16"/>
  <c r="Q77" i="16"/>
  <c r="Q54" i="16"/>
  <c r="S73" i="16"/>
  <c r="Q78" i="16"/>
  <c r="R3" i="16"/>
  <c r="Q53" i="16"/>
  <c r="Q30" i="16"/>
  <c r="Q90" i="16"/>
  <c r="Q29" i="16"/>
  <c r="R47" i="16"/>
  <c r="R11" i="16"/>
  <c r="R94" i="16"/>
  <c r="R58" i="16"/>
  <c r="R34" i="16"/>
  <c r="R10" i="16"/>
  <c r="R81" i="16"/>
  <c r="R45" i="16"/>
  <c r="R21" i="16"/>
  <c r="R80" i="16"/>
  <c r="R20" i="16"/>
  <c r="R67" i="16"/>
  <c r="R43" i="16"/>
  <c r="R19" i="16"/>
  <c r="R90" i="16"/>
  <c r="R54" i="16"/>
  <c r="R30" i="16"/>
  <c r="S59" i="16"/>
  <c r="S23" i="16"/>
  <c r="Q83" i="16"/>
  <c r="Q71" i="16"/>
  <c r="Q59" i="16"/>
  <c r="Q47" i="16"/>
  <c r="Q35" i="16"/>
  <c r="Q23" i="16"/>
  <c r="Q11" i="16"/>
  <c r="S94" i="16"/>
  <c r="S82" i="16"/>
  <c r="S70" i="16"/>
  <c r="S58" i="16"/>
  <c r="S46" i="16"/>
  <c r="S34" i="16"/>
  <c r="S22" i="16"/>
  <c r="S10" i="16"/>
  <c r="R83" i="16"/>
  <c r="R70" i="16"/>
  <c r="R57" i="16"/>
  <c r="R68" i="16"/>
  <c r="R79" i="16"/>
  <c r="R7" i="16"/>
  <c r="R66" i="16"/>
  <c r="R18" i="16"/>
  <c r="Q82" i="16"/>
  <c r="Q46" i="16"/>
  <c r="Q22" i="16"/>
  <c r="S93" i="16"/>
  <c r="S81" i="16"/>
  <c r="S69" i="16"/>
  <c r="S57" i="16"/>
  <c r="S45" i="16"/>
  <c r="S33" i="16"/>
  <c r="S21" i="16"/>
  <c r="S9" i="16"/>
  <c r="R71" i="16"/>
  <c r="R93" i="16"/>
  <c r="R69" i="16"/>
  <c r="R33" i="16"/>
  <c r="R9" i="16"/>
  <c r="R92" i="16"/>
  <c r="R56" i="16"/>
  <c r="R8" i="16"/>
  <c r="R91" i="16"/>
  <c r="R55" i="16"/>
  <c r="R31" i="16"/>
  <c r="R78" i="16"/>
  <c r="R42" i="16"/>
  <c r="S35" i="16"/>
  <c r="S92" i="16"/>
  <c r="S80" i="16"/>
  <c r="S68" i="16"/>
  <c r="S56" i="16"/>
  <c r="S44" i="16"/>
  <c r="S32" i="16"/>
  <c r="S20" i="16"/>
  <c r="S8" i="16"/>
  <c r="R32" i="16"/>
  <c r="Q44" i="16"/>
  <c r="S91" i="16"/>
  <c r="S79" i="16"/>
  <c r="S67" i="16"/>
  <c r="S55" i="16"/>
  <c r="S43" i="16"/>
  <c r="S31" i="16"/>
  <c r="S19" i="16"/>
  <c r="S7" i="16"/>
  <c r="Q3" i="16"/>
  <c r="V3" i="17"/>
  <c r="B23" i="29" a="1"/>
  <c r="F24" i="29" a="1"/>
  <c r="B7" i="28" a="1"/>
  <c r="C8" i="28" a="1"/>
  <c r="G9" i="28" a="1"/>
  <c r="G4" i="29" a="1"/>
  <c r="B17" i="29" a="1"/>
  <c r="B25" i="28" a="1"/>
  <c r="D16" i="28" a="1"/>
  <c r="G6" i="29" a="1"/>
  <c r="F6" i="29" a="1"/>
  <c r="C6" i="29" a="1"/>
  <c r="C14" i="29" a="1"/>
  <c r="H12" i="28" a="1"/>
  <c r="F10" i="29" a="1"/>
  <c r="G21" i="29" a="1"/>
  <c r="C20" i="29" a="1"/>
  <c r="F9" i="29" a="1"/>
  <c r="G21" i="28" a="1"/>
  <c r="D11" i="28" a="1"/>
  <c r="F19" i="29" a="1"/>
  <c r="H13" i="28" a="1"/>
  <c r="D9" i="28" a="1"/>
  <c r="B10" i="29" a="1"/>
  <c r="D7" i="28" a="1"/>
  <c r="F22" i="29" a="1"/>
  <c r="G10" i="28" a="1"/>
  <c r="C9" i="29" a="1"/>
  <c r="H10" i="28" a="1"/>
  <c r="H19" i="28" a="1"/>
  <c r="B5" i="28" a="1"/>
  <c r="B13" i="29" a="1"/>
  <c r="G22" i="29" a="1"/>
  <c r="B8" i="29" a="1"/>
  <c r="C11" i="28" a="1"/>
  <c r="H9" i="28" a="1"/>
  <c r="C10" i="29" a="1"/>
  <c r="D21" i="28" a="1"/>
  <c r="H14" i="28" a="1"/>
  <c r="C12" i="29" a="1"/>
  <c r="C16" i="29" a="1"/>
  <c r="G23" i="28" a="1"/>
  <c r="B17" i="28" a="1"/>
  <c r="G11" i="28" a="1"/>
  <c r="F22" i="28" a="1"/>
  <c r="G22" i="28" a="1"/>
  <c r="D19" i="28" a="1"/>
  <c r="C22" i="29" a="1"/>
  <c r="F18" i="29" a="1"/>
  <c r="B8" i="28" a="1"/>
  <c r="D20" i="28" a="1"/>
  <c r="F20" i="29" a="1"/>
  <c r="G25" i="28" a="1"/>
  <c r="H17" i="28" a="1"/>
  <c r="D8" i="28" a="1"/>
  <c r="F17" i="29" a="1"/>
  <c r="F5" i="29" a="1"/>
  <c r="B24" i="28" a="1"/>
  <c r="B15" i="28" a="1"/>
  <c r="D3" i="28" a="1"/>
  <c r="B11" i="28" a="1"/>
  <c r="B23" i="28" a="1"/>
  <c r="B3" i="28" a="1"/>
  <c r="H25" i="28" a="1"/>
  <c r="C22" i="28" a="1"/>
  <c r="G8" i="29" a="1"/>
  <c r="D24" i="28" a="1"/>
  <c r="F15" i="28" a="1"/>
  <c r="C5" i="28" a="1"/>
  <c r="F18" i="28" a="1"/>
  <c r="C24" i="29" a="1"/>
  <c r="F12" i="28" a="1"/>
  <c r="C16" i="28" a="1"/>
  <c r="C15" i="29" a="1"/>
  <c r="F25" i="29" a="1"/>
  <c r="G23" i="29" a="1"/>
  <c r="H20" i="28" a="1"/>
  <c r="G5" i="29" a="1"/>
  <c r="D12" i="28" a="1"/>
  <c r="D14" i="28" a="1"/>
  <c r="G20" i="28" a="1"/>
  <c r="B5" i="29" a="1"/>
  <c r="F8" i="29" a="1"/>
  <c r="H3" i="28" a="1"/>
  <c r="F17" i="28" a="1"/>
  <c r="D22" i="28" a="1"/>
  <c r="C23" i="28" a="1"/>
  <c r="B9" i="28" a="1"/>
  <c r="G24" i="28" a="1"/>
  <c r="F19" i="28" a="1"/>
  <c r="B19" i="29" a="1"/>
  <c r="C4" i="29" a="1"/>
  <c r="B20" i="28" a="1"/>
  <c r="H15" i="28" a="1"/>
  <c r="G12" i="28" a="1"/>
  <c r="H16" i="28" a="1"/>
  <c r="F8" i="28" a="1"/>
  <c r="F16" i="28" a="1"/>
  <c r="D6" i="28" a="1"/>
  <c r="D17" i="28" a="1"/>
  <c r="C25" i="28" a="1"/>
  <c r="F7" i="29" a="1"/>
  <c r="G25" i="29" a="1"/>
  <c r="B15" i="29" a="1"/>
  <c r="G17" i="28" a="1"/>
  <c r="G14" i="28" a="1"/>
  <c r="G10" i="29" a="1"/>
  <c r="G11" i="29" a="1"/>
  <c r="G24" i="29" a="1"/>
  <c r="G8" i="28" a="1"/>
  <c r="G19" i="29" a="1"/>
  <c r="H6" i="28" a="1"/>
  <c r="F4" i="29" a="1"/>
  <c r="B3" i="29" a="1"/>
  <c r="C20" i="28" a="1"/>
  <c r="F12" i="29" a="1"/>
  <c r="F25" i="28" a="1"/>
  <c r="G15" i="29" a="1"/>
  <c r="G13" i="28" a="1"/>
  <c r="C18" i="28" a="1"/>
  <c r="G19" i="28" a="1"/>
  <c r="C3" i="28" a="1"/>
  <c r="H5" i="28" a="1"/>
  <c r="F11" i="28" a="1"/>
  <c r="B13" i="28" a="1"/>
  <c r="C23" i="29" a="1"/>
  <c r="B20" i="29" a="1"/>
  <c r="C13" i="29" a="1"/>
  <c r="B14" i="28" a="1"/>
  <c r="C12" i="28" a="1"/>
  <c r="F10" i="28" a="1"/>
  <c r="B21" i="29" a="1"/>
  <c r="F23" i="29" a="1"/>
  <c r="B12" i="29" a="1"/>
  <c r="B18" i="28" a="1"/>
  <c r="C21" i="28" a="1"/>
  <c r="G16" i="29" a="1"/>
  <c r="F20" i="28" a="1"/>
  <c r="B19" i="28" a="1"/>
  <c r="F3" i="29" a="1"/>
  <c r="G15" i="28" a="1"/>
  <c r="C14" i="28" a="1"/>
  <c r="G6" i="28" a="1"/>
  <c r="H24" i="28" a="1"/>
  <c r="C10" i="28" a="1"/>
  <c r="C5" i="29" a="1"/>
  <c r="B24" i="29" a="1"/>
  <c r="C11" i="29" a="1"/>
  <c r="C13" i="28" a="1"/>
  <c r="F21" i="28" a="1"/>
  <c r="G13" i="29" a="1"/>
  <c r="F13" i="28" a="1"/>
  <c r="B16" i="28" a="1"/>
  <c r="F21" i="29" a="1"/>
  <c r="D10" i="28" a="1"/>
  <c r="B22" i="28" a="1"/>
  <c r="G7" i="28" a="1"/>
  <c r="C21" i="29" a="1"/>
  <c r="B21" i="28" a="1"/>
  <c r="G16" i="28" a="1"/>
  <c r="B11" i="29" a="1"/>
  <c r="G5" i="28" a="1"/>
  <c r="F9" i="28" a="1"/>
  <c r="C19" i="29" a="1"/>
  <c r="F16" i="29" a="1"/>
  <c r="C25" i="29" a="1"/>
  <c r="G18" i="28" a="1"/>
  <c r="B14" i="29" a="1"/>
  <c r="C17" i="29" a="1"/>
  <c r="C15" i="28" a="1"/>
  <c r="D18" i="28" a="1"/>
  <c r="D25" i="28" a="1"/>
  <c r="B7" i="29" a="1"/>
  <c r="C24" i="28" a="1"/>
  <c r="H11" i="28" a="1"/>
  <c r="B22" i="29" a="1"/>
  <c r="B25" i="29" a="1"/>
  <c r="D23" i="28" a="1"/>
  <c r="F23" i="28" a="1"/>
  <c r="B18" i="29" a="1"/>
  <c r="C8" i="29" a="1"/>
  <c r="F14" i="28" a="1"/>
  <c r="C7" i="29" a="1"/>
  <c r="B6" i="28" a="1"/>
  <c r="F3" i="28" a="1"/>
  <c r="G7" i="29" a="1"/>
  <c r="H18" i="28" a="1"/>
  <c r="C6" i="28" a="1"/>
  <c r="B10" i="28" a="1"/>
  <c r="F13" i="29" a="1"/>
  <c r="F24" i="28" a="1"/>
  <c r="G14" i="29" a="1"/>
  <c r="F5" i="28" a="1"/>
  <c r="B6" i="29" a="1"/>
  <c r="D5" i="28" a="1"/>
  <c r="F14" i="29" a="1"/>
  <c r="C18" i="29" a="1"/>
  <c r="C3" i="29" a="1"/>
  <c r="B9" i="29" a="1"/>
  <c r="D13" i="28" a="1"/>
  <c r="G3" i="29" a="1"/>
  <c r="G17" i="29" a="1"/>
  <c r="C9" i="28" a="1"/>
  <c r="F7" i="28" a="1"/>
  <c r="G18" i="29" a="1"/>
  <c r="C17" i="28" a="1"/>
  <c r="G20" i="29" a="1"/>
  <c r="D15" i="28" a="1"/>
  <c r="F15" i="29" a="1"/>
  <c r="C7" i="28" a="1"/>
  <c r="F11" i="29" a="1"/>
  <c r="H21" i="28" a="1"/>
  <c r="G9" i="29" a="1"/>
  <c r="G3" i="28" a="1"/>
  <c r="B16" i="29" a="1"/>
  <c r="C19" i="28" a="1"/>
  <c r="B4" i="29" a="1"/>
  <c r="B12" i="28" a="1"/>
  <c r="G12" i="29" a="1"/>
  <c r="F6" i="28" a="1"/>
  <c r="T93" i="17" l="1"/>
  <c r="U57" i="17"/>
  <c r="T21" i="17"/>
  <c r="T57" i="17"/>
  <c r="T9" i="17"/>
  <c r="T33" i="17"/>
  <c r="U31" i="17"/>
  <c r="U9" i="17"/>
  <c r="T45" i="17"/>
  <c r="U81" i="17"/>
  <c r="T81" i="17"/>
  <c r="V21" i="17"/>
  <c r="V81" i="17"/>
  <c r="G4" i="29"/>
  <c r="F21" i="28"/>
  <c r="H20" i="28"/>
  <c r="F3" i="28"/>
  <c r="G6" i="28"/>
  <c r="F16" i="29"/>
  <c r="H11" i="28"/>
  <c r="G11" i="29"/>
  <c r="G15" i="29"/>
  <c r="F8" i="28"/>
  <c r="F7" i="28"/>
  <c r="G22" i="28"/>
  <c r="G21" i="28"/>
  <c r="H5" i="28"/>
  <c r="D25" i="28"/>
  <c r="C17" i="29"/>
  <c r="G12" i="29"/>
  <c r="G21" i="29"/>
  <c r="C14" i="29"/>
  <c r="F21" i="29"/>
  <c r="D24" i="28"/>
  <c r="G18" i="28"/>
  <c r="G10" i="28"/>
  <c r="H13" i="28"/>
  <c r="C16" i="28"/>
  <c r="G24" i="29"/>
  <c r="C6" i="28"/>
  <c r="F25" i="29"/>
  <c r="F10" i="29"/>
  <c r="F8" i="29"/>
  <c r="F9" i="28"/>
  <c r="C25" i="29"/>
  <c r="B20" i="28"/>
  <c r="H10" i="28"/>
  <c r="B21" i="29"/>
  <c r="D22" i="28"/>
  <c r="F25" i="28"/>
  <c r="B5" i="28"/>
  <c r="B11" i="28"/>
  <c r="G25" i="28"/>
  <c r="F16" i="28"/>
  <c r="C16" i="29"/>
  <c r="D10" i="28"/>
  <c r="C17" i="28"/>
  <c r="G8" i="29"/>
  <c r="C8" i="29"/>
  <c r="F22" i="29"/>
  <c r="G22" i="29"/>
  <c r="D21" i="28"/>
  <c r="C25" i="28"/>
  <c r="C5" i="29"/>
  <c r="F11" i="28"/>
  <c r="D18" i="28"/>
  <c r="B22" i="29"/>
  <c r="B19" i="29"/>
  <c r="G23" i="28"/>
  <c r="D13" i="28"/>
  <c r="F4" i="29"/>
  <c r="C20" i="29"/>
  <c r="B18" i="28"/>
  <c r="C3" i="29"/>
  <c r="G5" i="28"/>
  <c r="B19" i="28"/>
  <c r="G3" i="28"/>
  <c r="G19" i="28"/>
  <c r="F18" i="28"/>
  <c r="C12" i="28"/>
  <c r="C9" i="29"/>
  <c r="D14" i="28"/>
  <c r="F13" i="29"/>
  <c r="B23" i="29"/>
  <c r="B15" i="29"/>
  <c r="B12" i="29"/>
  <c r="G3" i="29"/>
  <c r="G23" i="29"/>
  <c r="C11" i="28"/>
  <c r="G14" i="29"/>
  <c r="D7" i="28"/>
  <c r="G10" i="29"/>
  <c r="F12" i="29"/>
  <c r="F11" i="29"/>
  <c r="H18" i="28"/>
  <c r="B15" i="28"/>
  <c r="C15" i="29"/>
  <c r="F24" i="28"/>
  <c r="G16" i="29"/>
  <c r="F19" i="28"/>
  <c r="D6" i="28"/>
  <c r="F6" i="29"/>
  <c r="H19" i="28"/>
  <c r="C19" i="28"/>
  <c r="D9" i="28"/>
  <c r="G25" i="29"/>
  <c r="H24" i="28"/>
  <c r="H14" i="28"/>
  <c r="H9" i="28"/>
  <c r="C10" i="28"/>
  <c r="H12" i="28"/>
  <c r="F9" i="29"/>
  <c r="C21" i="28"/>
  <c r="B14" i="29"/>
  <c r="F15" i="29"/>
  <c r="F22" i="28"/>
  <c r="C13" i="28"/>
  <c r="G5" i="29"/>
  <c r="B3" i="28"/>
  <c r="F13" i="28"/>
  <c r="G16" i="28"/>
  <c r="B25" i="28"/>
  <c r="F10" i="28"/>
  <c r="C7" i="28"/>
  <c r="G13" i="28"/>
  <c r="C13" i="29"/>
  <c r="F17" i="28"/>
  <c r="H16" i="28"/>
  <c r="G20" i="29"/>
  <c r="G20" i="28"/>
  <c r="G17" i="29"/>
  <c r="H3" i="28"/>
  <c r="C24" i="29"/>
  <c r="G24" i="28"/>
  <c r="D23" i="28"/>
  <c r="B17" i="28"/>
  <c r="F20" i="28"/>
  <c r="D11" i="28"/>
  <c r="G7" i="28"/>
  <c r="D5" i="28"/>
  <c r="F20" i="29"/>
  <c r="F15" i="28"/>
  <c r="G9" i="29"/>
  <c r="F17" i="29"/>
  <c r="C22" i="29"/>
  <c r="D19" i="28"/>
  <c r="B14" i="28"/>
  <c r="G6" i="29"/>
  <c r="C14" i="28"/>
  <c r="C6" i="29"/>
  <c r="H15" i="28"/>
  <c r="C24" i="28"/>
  <c r="D20" i="28"/>
  <c r="F12" i="28"/>
  <c r="G11" i="28"/>
  <c r="C5" i="28"/>
  <c r="B9" i="28"/>
  <c r="B20" i="29"/>
  <c r="G9" i="28"/>
  <c r="C4" i="29"/>
  <c r="B23" i="28"/>
  <c r="C3" i="28"/>
  <c r="F5" i="29"/>
  <c r="C23" i="28"/>
  <c r="B12" i="28"/>
  <c r="C20" i="28"/>
  <c r="C23" i="29"/>
  <c r="G7" i="29"/>
  <c r="B7" i="29"/>
  <c r="G18" i="29"/>
  <c r="C19" i="29"/>
  <c r="B16" i="29"/>
  <c r="B16" i="28"/>
  <c r="C18" i="29"/>
  <c r="D17" i="28"/>
  <c r="G14" i="28"/>
  <c r="C11" i="29"/>
  <c r="C18" i="28"/>
  <c r="B18" i="29"/>
  <c r="B8" i="28"/>
  <c r="C15" i="28"/>
  <c r="B4" i="29"/>
  <c r="B9" i="29"/>
  <c r="B25" i="29"/>
  <c r="B21" i="28"/>
  <c r="B3" i="29"/>
  <c r="G8" i="28"/>
  <c r="F24" i="29"/>
  <c r="D8" i="28"/>
  <c r="B10" i="29"/>
  <c r="G19" i="29"/>
  <c r="C9" i="28"/>
  <c r="C7" i="29"/>
  <c r="B5" i="29"/>
  <c r="C8" i="28"/>
  <c r="F23" i="28"/>
  <c r="H17" i="28"/>
  <c r="C22" i="28"/>
  <c r="B6" i="28"/>
  <c r="G15" i="28"/>
  <c r="B24" i="28"/>
  <c r="B10" i="28"/>
  <c r="H25" i="28"/>
  <c r="B13" i="28"/>
  <c r="D16" i="28"/>
  <c r="B24" i="29"/>
  <c r="B7" i="28"/>
  <c r="D15" i="28"/>
  <c r="F18" i="29"/>
  <c r="G13" i="29"/>
  <c r="F5" i="28"/>
  <c r="F6" i="28"/>
  <c r="F23" i="29"/>
  <c r="C21" i="29"/>
  <c r="F14" i="29"/>
  <c r="H21" i="28"/>
  <c r="H6" i="28"/>
  <c r="F14" i="28"/>
  <c r="B13" i="29"/>
  <c r="G17" i="28"/>
  <c r="F19" i="29"/>
  <c r="C10" i="29"/>
  <c r="B8" i="29"/>
  <c r="B17" i="29"/>
  <c r="F7" i="29"/>
  <c r="B22" i="28"/>
  <c r="G12" i="28"/>
  <c r="D12" i="28"/>
  <c r="C12" i="29"/>
  <c r="F3" i="29"/>
  <c r="B11" i="29"/>
  <c r="B6" i="29"/>
  <c r="D3" i="28"/>
  <c r="Q93" i="34"/>
  <c r="P93" i="34"/>
  <c r="O93" i="34"/>
  <c r="N93" i="34"/>
  <c r="Q91" i="34"/>
  <c r="P91" i="34"/>
  <c r="O91" i="34"/>
  <c r="N91" i="34"/>
  <c r="Q89" i="34"/>
  <c r="P89" i="34"/>
  <c r="O89" i="34"/>
  <c r="N89" i="34"/>
  <c r="Q87" i="34"/>
  <c r="P87" i="34"/>
  <c r="O87" i="34"/>
  <c r="N87" i="34"/>
  <c r="Q85" i="34"/>
  <c r="P85" i="34"/>
  <c r="O85" i="34"/>
  <c r="N85" i="34"/>
  <c r="Q83" i="34"/>
  <c r="P83" i="34"/>
  <c r="O83" i="34"/>
  <c r="N83" i="34"/>
  <c r="Q81" i="34"/>
  <c r="P81" i="34"/>
  <c r="O81" i="34"/>
  <c r="N81" i="34"/>
  <c r="Q79" i="34"/>
  <c r="P79" i="34"/>
  <c r="O79" i="34"/>
  <c r="N79" i="34"/>
  <c r="Q77" i="34"/>
  <c r="P77" i="34"/>
  <c r="O77" i="34"/>
  <c r="N77" i="34"/>
  <c r="Q75" i="34"/>
  <c r="P75" i="34"/>
  <c r="O75" i="34"/>
  <c r="N75" i="34"/>
  <c r="Q73" i="34"/>
  <c r="P73" i="34"/>
  <c r="O73" i="34"/>
  <c r="N73" i="34"/>
  <c r="Q71" i="34"/>
  <c r="P71" i="34"/>
  <c r="O71" i="34"/>
  <c r="N71" i="34"/>
  <c r="Q69" i="34"/>
  <c r="P69" i="34"/>
  <c r="O69" i="34"/>
  <c r="N69" i="34"/>
  <c r="Q67" i="34"/>
  <c r="P67" i="34"/>
  <c r="O67" i="34"/>
  <c r="N67" i="34"/>
  <c r="Q65" i="34"/>
  <c r="P65" i="34"/>
  <c r="O65" i="34"/>
  <c r="N65" i="34"/>
  <c r="Q63" i="34"/>
  <c r="P63" i="34"/>
  <c r="O63" i="34"/>
  <c r="N63" i="34"/>
  <c r="Q61" i="34"/>
  <c r="P61" i="34"/>
  <c r="O61" i="34"/>
  <c r="N61" i="34"/>
  <c r="Q59" i="34"/>
  <c r="P59" i="34"/>
  <c r="O59" i="34"/>
  <c r="N59" i="34"/>
  <c r="Q57" i="34"/>
  <c r="P57" i="34"/>
  <c r="O57" i="34"/>
  <c r="N57" i="34"/>
  <c r="Q55" i="34"/>
  <c r="P55" i="34"/>
  <c r="O55" i="34"/>
  <c r="N55" i="34"/>
  <c r="Q53" i="34"/>
  <c r="P53" i="34"/>
  <c r="O53" i="34"/>
  <c r="N53" i="34"/>
  <c r="Q51" i="34"/>
  <c r="P51" i="34"/>
  <c r="O51" i="34"/>
  <c r="N51" i="34"/>
  <c r="Q49" i="34"/>
  <c r="P49" i="34"/>
  <c r="O49" i="34"/>
  <c r="N49" i="34"/>
  <c r="Q47" i="34"/>
  <c r="P47" i="34"/>
  <c r="O47" i="34"/>
  <c r="N47" i="34"/>
  <c r="Q45" i="34"/>
  <c r="P45" i="34"/>
  <c r="O45" i="34"/>
  <c r="N45" i="34"/>
  <c r="Q43" i="34"/>
  <c r="P43" i="34"/>
  <c r="O43" i="34"/>
  <c r="N43" i="34"/>
  <c r="Q41" i="34"/>
  <c r="P41" i="34"/>
  <c r="O41" i="34"/>
  <c r="N41" i="34"/>
  <c r="Q39" i="34"/>
  <c r="P39" i="34"/>
  <c r="O39" i="34"/>
  <c r="N39" i="34"/>
  <c r="Q37" i="34"/>
  <c r="P37" i="34"/>
  <c r="O37" i="34"/>
  <c r="N37" i="34"/>
  <c r="Q35" i="34"/>
  <c r="P35" i="34"/>
  <c r="O35" i="34"/>
  <c r="N35" i="34"/>
  <c r="Q33" i="34"/>
  <c r="P33" i="34"/>
  <c r="O33" i="34"/>
  <c r="N33" i="34"/>
  <c r="Q31" i="34"/>
  <c r="P31" i="34"/>
  <c r="O31" i="34"/>
  <c r="N31" i="34"/>
  <c r="Q29" i="34"/>
  <c r="P29" i="34"/>
  <c r="O29" i="34"/>
  <c r="N29" i="34"/>
  <c r="Q27" i="34"/>
  <c r="P27" i="34"/>
  <c r="O27" i="34"/>
  <c r="N27" i="34"/>
  <c r="Q25" i="34"/>
  <c r="P25" i="34"/>
  <c r="O25" i="34"/>
  <c r="N25" i="34"/>
  <c r="Q23" i="34"/>
  <c r="P23" i="34"/>
  <c r="O23" i="34"/>
  <c r="N23" i="34"/>
  <c r="Q21" i="34"/>
  <c r="P21" i="34"/>
  <c r="O21" i="34"/>
  <c r="N21" i="34"/>
  <c r="Q19" i="34"/>
  <c r="P19" i="34"/>
  <c r="O19" i="34"/>
  <c r="N19" i="34"/>
  <c r="Q17" i="34"/>
  <c r="P17" i="34"/>
  <c r="O17" i="34"/>
  <c r="N17" i="34"/>
  <c r="Q15" i="34"/>
  <c r="P15" i="34"/>
  <c r="O15" i="34"/>
  <c r="N15" i="34"/>
  <c r="Q13" i="34"/>
  <c r="P13" i="34"/>
  <c r="O13" i="34"/>
  <c r="N13" i="34"/>
  <c r="Q11" i="34"/>
  <c r="P11" i="34"/>
  <c r="O11" i="34"/>
  <c r="N11" i="34"/>
  <c r="Q9" i="34"/>
  <c r="P9" i="34"/>
  <c r="O9" i="34"/>
  <c r="N9" i="34"/>
  <c r="Q7" i="34"/>
  <c r="P7" i="34"/>
  <c r="O7" i="34"/>
  <c r="N7" i="34"/>
  <c r="Q5" i="34"/>
  <c r="P5" i="34"/>
  <c r="O5" i="34"/>
  <c r="N5" i="34"/>
  <c r="Q3" i="34"/>
  <c r="P3" i="34"/>
  <c r="O3" i="34"/>
  <c r="N3" i="34"/>
  <c r="Q93" i="33"/>
  <c r="P93" i="33"/>
  <c r="O93" i="33"/>
  <c r="N93" i="33"/>
  <c r="Q91" i="33"/>
  <c r="P91" i="33"/>
  <c r="O91" i="33"/>
  <c r="N91" i="33"/>
  <c r="Q89" i="33"/>
  <c r="P89" i="33"/>
  <c r="O89" i="33"/>
  <c r="N89" i="33"/>
  <c r="Q87" i="33"/>
  <c r="P87" i="33"/>
  <c r="O87" i="33"/>
  <c r="N87" i="33"/>
  <c r="Q85" i="33"/>
  <c r="P85" i="33"/>
  <c r="O85" i="33"/>
  <c r="N85" i="33"/>
  <c r="Q83" i="33"/>
  <c r="P83" i="33"/>
  <c r="O83" i="33"/>
  <c r="N83" i="33"/>
  <c r="Q81" i="33"/>
  <c r="P81" i="33"/>
  <c r="O81" i="33"/>
  <c r="N81" i="33"/>
  <c r="Q79" i="33"/>
  <c r="P79" i="33"/>
  <c r="O79" i="33"/>
  <c r="N79" i="33"/>
  <c r="Q77" i="33"/>
  <c r="P77" i="33"/>
  <c r="O77" i="33"/>
  <c r="N77" i="33"/>
  <c r="Q75" i="33"/>
  <c r="P75" i="33"/>
  <c r="O75" i="33"/>
  <c r="N75" i="33"/>
  <c r="Q73" i="33"/>
  <c r="P73" i="33"/>
  <c r="O73" i="33"/>
  <c r="N73" i="33"/>
  <c r="Q71" i="33"/>
  <c r="P71" i="33"/>
  <c r="O71" i="33"/>
  <c r="N71" i="33"/>
  <c r="Q69" i="33"/>
  <c r="P69" i="33"/>
  <c r="O69" i="33"/>
  <c r="N69" i="33"/>
  <c r="Q67" i="33"/>
  <c r="P67" i="33"/>
  <c r="O67" i="33"/>
  <c r="N67" i="33"/>
  <c r="Q65" i="33"/>
  <c r="P65" i="33"/>
  <c r="O65" i="33"/>
  <c r="N65" i="33"/>
  <c r="Q63" i="33"/>
  <c r="P63" i="33"/>
  <c r="O63" i="33"/>
  <c r="N63" i="33"/>
  <c r="Q61" i="33"/>
  <c r="P61" i="33"/>
  <c r="O61" i="33"/>
  <c r="N61" i="33"/>
  <c r="Q59" i="33"/>
  <c r="P59" i="33"/>
  <c r="O59" i="33"/>
  <c r="N59" i="33"/>
  <c r="Q57" i="33"/>
  <c r="P57" i="33"/>
  <c r="O57" i="33"/>
  <c r="N57" i="33"/>
  <c r="Q55" i="33"/>
  <c r="P55" i="33"/>
  <c r="O55" i="33"/>
  <c r="N55" i="33"/>
  <c r="Q53" i="33"/>
  <c r="P53" i="33"/>
  <c r="O53" i="33"/>
  <c r="N53" i="33"/>
  <c r="Q51" i="33"/>
  <c r="P51" i="33"/>
  <c r="O51" i="33"/>
  <c r="N51" i="33"/>
  <c r="Q49" i="33"/>
  <c r="P49" i="33"/>
  <c r="O49" i="33"/>
  <c r="N49" i="33"/>
  <c r="Q47" i="33"/>
  <c r="P47" i="33"/>
  <c r="O47" i="33"/>
  <c r="N47" i="33"/>
  <c r="Q45" i="33"/>
  <c r="P45" i="33"/>
  <c r="O45" i="33"/>
  <c r="N45" i="33"/>
  <c r="Q43" i="33"/>
  <c r="P43" i="33"/>
  <c r="O43" i="33"/>
  <c r="N43" i="33"/>
  <c r="Q41" i="33"/>
  <c r="P41" i="33"/>
  <c r="O41" i="33"/>
  <c r="N41" i="33"/>
  <c r="Q39" i="33"/>
  <c r="P39" i="33"/>
  <c r="O39" i="33"/>
  <c r="N39" i="33"/>
  <c r="Q37" i="33"/>
  <c r="P37" i="33"/>
  <c r="O37" i="33"/>
  <c r="N37" i="33"/>
  <c r="Q35" i="33"/>
  <c r="P35" i="33"/>
  <c r="O35" i="33"/>
  <c r="N35" i="33"/>
  <c r="Q33" i="33"/>
  <c r="P33" i="33"/>
  <c r="O33" i="33"/>
  <c r="N33" i="33"/>
  <c r="Q31" i="33"/>
  <c r="P31" i="33"/>
  <c r="O31" i="33"/>
  <c r="N31" i="33"/>
  <c r="Q29" i="33"/>
  <c r="P29" i="33"/>
  <c r="O29" i="33"/>
  <c r="N29" i="33"/>
  <c r="Q27" i="33"/>
  <c r="P27" i="33"/>
  <c r="O27" i="33"/>
  <c r="N27" i="33"/>
  <c r="Q25" i="33"/>
  <c r="P25" i="33"/>
  <c r="O25" i="33"/>
  <c r="N25" i="33"/>
  <c r="Q23" i="33"/>
  <c r="P23" i="33"/>
  <c r="O23" i="33"/>
  <c r="N23" i="33"/>
  <c r="Q21" i="33"/>
  <c r="P21" i="33"/>
  <c r="O21" i="33"/>
  <c r="N21" i="33"/>
  <c r="Q19" i="33"/>
  <c r="P19" i="33"/>
  <c r="O19" i="33"/>
  <c r="N19" i="33"/>
  <c r="Q17" i="33"/>
  <c r="P17" i="33"/>
  <c r="O17" i="33"/>
  <c r="N17" i="33"/>
  <c r="Q15" i="33"/>
  <c r="P15" i="33"/>
  <c r="O15" i="33"/>
  <c r="N15" i="33"/>
  <c r="Q13" i="33"/>
  <c r="P13" i="33"/>
  <c r="O13" i="33"/>
  <c r="N13" i="33"/>
  <c r="Q11" i="33"/>
  <c r="P11" i="33"/>
  <c r="O11" i="33"/>
  <c r="N11" i="33"/>
  <c r="Q9" i="33"/>
  <c r="P9" i="33"/>
  <c r="O9" i="33"/>
  <c r="N9" i="33"/>
  <c r="Q7" i="33"/>
  <c r="P7" i="33"/>
  <c r="O7" i="33"/>
  <c r="N7" i="33"/>
  <c r="Q5" i="33"/>
  <c r="P5" i="33"/>
  <c r="O5" i="33"/>
  <c r="N5" i="33"/>
  <c r="Q3" i="33"/>
  <c r="P3" i="33"/>
  <c r="O3" i="33"/>
  <c r="N3" i="33"/>
  <c r="H22" i="28" a="1"/>
  <c r="H7" i="28" a="1"/>
  <c r="H8" i="28" a="1"/>
  <c r="H23" i="28" a="1"/>
  <c r="D8" i="25" a="1"/>
  <c r="H7" i="28" l="1"/>
  <c r="H22" i="28"/>
  <c r="B11" i="11"/>
  <c r="B5" i="11"/>
  <c r="B3" i="11"/>
  <c r="B4" i="11"/>
  <c r="H23" i="28"/>
  <c r="H8" i="28"/>
  <c r="B10" i="11"/>
  <c r="B12" i="11"/>
  <c r="B17" i="11"/>
  <c r="B19" i="11"/>
  <c r="B18" i="11"/>
  <c r="D8" i="25"/>
  <c r="S43" i="17" l="1"/>
  <c r="S45" i="17"/>
  <c r="T7" i="16"/>
  <c r="T67" i="16"/>
  <c r="U67" i="16"/>
  <c r="V67" i="16"/>
  <c r="W67" i="16"/>
  <c r="T69" i="16"/>
  <c r="U69" i="16"/>
  <c r="V69" i="16"/>
  <c r="W69" i="16"/>
  <c r="S11" i="17"/>
  <c r="S17" i="17"/>
  <c r="S23" i="17"/>
  <c r="S29" i="17"/>
  <c r="S39" i="17"/>
  <c r="S47" i="17"/>
  <c r="S55" i="17"/>
  <c r="S63" i="17"/>
  <c r="S71" i="17"/>
  <c r="S77" i="17"/>
  <c r="S81" i="17"/>
  <c r="S87" i="17"/>
  <c r="S93" i="17"/>
  <c r="S91" i="17"/>
  <c r="S89" i="17"/>
  <c r="S85" i="17"/>
  <c r="S83" i="17"/>
  <c r="S79" i="17"/>
  <c r="S75" i="17"/>
  <c r="S73" i="17"/>
  <c r="S69" i="17"/>
  <c r="S67" i="17"/>
  <c r="S65" i="17"/>
  <c r="S61" i="17"/>
  <c r="S59" i="17"/>
  <c r="S57" i="17"/>
  <c r="S53" i="17"/>
  <c r="S51" i="17"/>
  <c r="S49" i="17"/>
  <c r="S41" i="17"/>
  <c r="S37" i="17"/>
  <c r="S35" i="17"/>
  <c r="S33" i="17"/>
  <c r="S31" i="17"/>
  <c r="S27" i="17"/>
  <c r="S25" i="17"/>
  <c r="S21" i="17"/>
  <c r="S19" i="17"/>
  <c r="S15" i="17"/>
  <c r="S13" i="17"/>
  <c r="S9" i="17"/>
  <c r="S7" i="17"/>
  <c r="S5" i="17"/>
  <c r="S3" i="17"/>
  <c r="W93" i="16"/>
  <c r="V93" i="16"/>
  <c r="U93" i="16"/>
  <c r="T93" i="16"/>
  <c r="W91" i="16"/>
  <c r="V91" i="16"/>
  <c r="U91" i="16"/>
  <c r="T91" i="16"/>
  <c r="W89" i="16"/>
  <c r="V89" i="16"/>
  <c r="U89" i="16"/>
  <c r="T89" i="16"/>
  <c r="W87" i="16"/>
  <c r="V87" i="16"/>
  <c r="U87" i="16"/>
  <c r="T87" i="16"/>
  <c r="W85" i="16"/>
  <c r="V85" i="16"/>
  <c r="U85" i="16"/>
  <c r="T85" i="16"/>
  <c r="W83" i="16"/>
  <c r="V83" i="16"/>
  <c r="U83" i="16"/>
  <c r="T83" i="16"/>
  <c r="W81" i="16"/>
  <c r="V81" i="16"/>
  <c r="U81" i="16"/>
  <c r="T81" i="16"/>
  <c r="W79" i="16"/>
  <c r="V79" i="16"/>
  <c r="U79" i="16"/>
  <c r="T79" i="16"/>
  <c r="W77" i="16"/>
  <c r="V77" i="16"/>
  <c r="U77" i="16"/>
  <c r="T77" i="16"/>
  <c r="W75" i="16"/>
  <c r="V75" i="16"/>
  <c r="U75" i="16"/>
  <c r="T75" i="16"/>
  <c r="W73" i="16"/>
  <c r="V73" i="16"/>
  <c r="U73" i="16"/>
  <c r="T73" i="16"/>
  <c r="W71" i="16"/>
  <c r="V71" i="16"/>
  <c r="U71" i="16"/>
  <c r="T71" i="16"/>
  <c r="W65" i="16"/>
  <c r="V65" i="16"/>
  <c r="U65" i="16"/>
  <c r="T65" i="16"/>
  <c r="W63" i="16"/>
  <c r="V63" i="16"/>
  <c r="U63" i="16"/>
  <c r="T63" i="16"/>
  <c r="W61" i="16"/>
  <c r="V61" i="16"/>
  <c r="U61" i="16"/>
  <c r="T61" i="16"/>
  <c r="W59" i="16"/>
  <c r="V59" i="16"/>
  <c r="U59" i="16"/>
  <c r="T59" i="16"/>
  <c r="W57" i="16"/>
  <c r="V57" i="16"/>
  <c r="U57" i="16"/>
  <c r="T57" i="16"/>
  <c r="W55" i="16"/>
  <c r="V55" i="16"/>
  <c r="U55" i="16"/>
  <c r="T55" i="16"/>
  <c r="W53" i="16"/>
  <c r="V53" i="16"/>
  <c r="U53" i="16"/>
  <c r="T53" i="16"/>
  <c r="W51" i="16"/>
  <c r="V51" i="16"/>
  <c r="U51" i="16"/>
  <c r="T51" i="16"/>
  <c r="W49" i="16"/>
  <c r="V49" i="16"/>
  <c r="U49" i="16"/>
  <c r="T49" i="16"/>
  <c r="W47" i="16"/>
  <c r="V47" i="16"/>
  <c r="U47" i="16"/>
  <c r="T47" i="16"/>
  <c r="W45" i="16"/>
  <c r="V45" i="16"/>
  <c r="U45" i="16"/>
  <c r="T45" i="16"/>
  <c r="W43" i="16"/>
  <c r="V43" i="16"/>
  <c r="U43" i="16"/>
  <c r="T43" i="16"/>
  <c r="W41" i="16"/>
  <c r="V41" i="16"/>
  <c r="U41" i="16"/>
  <c r="T41" i="16"/>
  <c r="W39" i="16"/>
  <c r="V39" i="16"/>
  <c r="U39" i="16"/>
  <c r="T39" i="16"/>
  <c r="W37" i="16"/>
  <c r="V37" i="16"/>
  <c r="U37" i="16"/>
  <c r="T37" i="16"/>
  <c r="W35" i="16"/>
  <c r="V35" i="16"/>
  <c r="U35" i="16"/>
  <c r="T35" i="16"/>
  <c r="W33" i="16"/>
  <c r="V33" i="16"/>
  <c r="U33" i="16"/>
  <c r="T33" i="16"/>
  <c r="W31" i="16"/>
  <c r="V31" i="16"/>
  <c r="U31" i="16"/>
  <c r="T31" i="16"/>
  <c r="W29" i="16"/>
  <c r="V29" i="16"/>
  <c r="U29" i="16"/>
  <c r="T29" i="16"/>
  <c r="W27" i="16"/>
  <c r="V27" i="16"/>
  <c r="U27" i="16"/>
  <c r="T27" i="16"/>
  <c r="W25" i="16"/>
  <c r="V25" i="16"/>
  <c r="U25" i="16"/>
  <c r="T25" i="16"/>
  <c r="W23" i="16"/>
  <c r="V23" i="16"/>
  <c r="U23" i="16"/>
  <c r="T23" i="16"/>
  <c r="W21" i="16"/>
  <c r="V21" i="16"/>
  <c r="U21" i="16"/>
  <c r="T21" i="16"/>
  <c r="W19" i="16"/>
  <c r="V19" i="16"/>
  <c r="U19" i="16"/>
  <c r="T19" i="16"/>
  <c r="W17" i="16"/>
  <c r="V17" i="16"/>
  <c r="U17" i="16"/>
  <c r="T17" i="16"/>
  <c r="W15" i="16"/>
  <c r="V15" i="16"/>
  <c r="U15" i="16"/>
  <c r="T15" i="16"/>
  <c r="W13" i="16"/>
  <c r="V13" i="16"/>
  <c r="U13" i="16"/>
  <c r="T13" i="16"/>
  <c r="W11" i="16"/>
  <c r="V11" i="16"/>
  <c r="U11" i="16"/>
  <c r="T11" i="16"/>
  <c r="W9" i="16"/>
  <c r="V9" i="16"/>
  <c r="U9" i="16"/>
  <c r="T9" i="16"/>
  <c r="W7" i="16"/>
  <c r="V7" i="16"/>
  <c r="U7" i="16"/>
  <c r="W5" i="16"/>
  <c r="V5" i="16"/>
  <c r="U5" i="16"/>
  <c r="T5" i="16"/>
  <c r="W3" i="16"/>
  <c r="V3" i="16"/>
  <c r="U3" i="16"/>
  <c r="T3" i="16"/>
  <c r="D8" i="29" a="1"/>
  <c r="H18" i="29" a="1"/>
  <c r="D22" i="29" a="1"/>
  <c r="D15" i="29" a="1"/>
  <c r="H15" i="29" a="1"/>
  <c r="H4" i="29" a="1"/>
  <c r="D20" i="29" a="1"/>
  <c r="D10" i="29" a="1"/>
  <c r="D16" i="29" a="1"/>
  <c r="D25" i="29" a="1"/>
  <c r="D19" i="29" a="1"/>
  <c r="D9" i="29" a="1"/>
  <c r="D6" i="29" a="1"/>
  <c r="D18" i="29" a="1"/>
  <c r="H20" i="29" a="1"/>
  <c r="D13" i="29" a="1"/>
  <c r="D21" i="29" a="1"/>
  <c r="H24" i="29" a="1"/>
  <c r="D4" i="29" a="1"/>
  <c r="D17" i="29" a="1"/>
  <c r="H11" i="29" a="1"/>
  <c r="H5" i="29" a="1"/>
  <c r="H17" i="29" a="1"/>
  <c r="H16" i="29" a="1"/>
  <c r="H6" i="29" a="1"/>
  <c r="H8" i="29" a="1"/>
  <c r="H10" i="29" a="1"/>
  <c r="H7" i="29" a="1"/>
  <c r="H12" i="29" a="1"/>
  <c r="D24" i="29" a="1"/>
  <c r="D14" i="29" a="1"/>
  <c r="H25" i="29" a="1"/>
  <c r="H13" i="29" a="1"/>
  <c r="H9" i="29" a="1"/>
  <c r="D3" i="29" a="1"/>
  <c r="H3" i="29" a="1"/>
  <c r="D23" i="29" a="1"/>
  <c r="H21" i="29" a="1"/>
  <c r="H23" i="29" a="1"/>
  <c r="D7" i="29" a="1"/>
  <c r="D5" i="29" a="1"/>
  <c r="H22" i="29" a="1"/>
  <c r="D12" i="29" a="1"/>
  <c r="D11" i="29" a="1"/>
  <c r="H14" i="29" a="1"/>
  <c r="H19" i="29" a="1"/>
  <c r="D9" i="29" l="1"/>
  <c r="D12" i="29"/>
  <c r="D15" i="29"/>
  <c r="D18" i="29"/>
  <c r="D22" i="29"/>
  <c r="D25" i="29"/>
  <c r="D6" i="29"/>
  <c r="H10" i="29"/>
  <c r="H13" i="29"/>
  <c r="H16" i="29"/>
  <c r="H19" i="29"/>
  <c r="H23" i="29"/>
  <c r="H6" i="29"/>
  <c r="D8" i="29"/>
  <c r="D11" i="29"/>
  <c r="H15" i="29"/>
  <c r="H5" i="29"/>
  <c r="D7" i="29"/>
  <c r="H8" i="29"/>
  <c r="D10" i="29"/>
  <c r="H11" i="29"/>
  <c r="D13" i="29"/>
  <c r="H14" i="29"/>
  <c r="D16" i="29"/>
  <c r="H17" i="29"/>
  <c r="D19" i="29"/>
  <c r="H21" i="29"/>
  <c r="D23" i="29"/>
  <c r="H24" i="29"/>
  <c r="H7" i="29"/>
  <c r="H4" i="29"/>
  <c r="D20" i="29"/>
  <c r="D3" i="29"/>
  <c r="H3" i="29"/>
  <c r="D4" i="29"/>
  <c r="H20" i="29"/>
  <c r="D5" i="29"/>
  <c r="H9" i="29"/>
  <c r="H12" i="29"/>
  <c r="D14" i="29"/>
  <c r="D17" i="29"/>
  <c r="H18" i="29"/>
  <c r="D21" i="29"/>
  <c r="H22" i="29"/>
  <c r="D24" i="29"/>
  <c r="H25" i="29"/>
  <c r="B26" i="11"/>
  <c r="B47" i="11" s="1"/>
  <c r="B25" i="11"/>
  <c r="B46" i="11" s="1"/>
  <c r="B24" i="11"/>
  <c r="B45" i="11" s="1"/>
  <c r="B31" i="11"/>
  <c r="B39" i="11"/>
  <c r="B32" i="11"/>
  <c r="B40" i="11"/>
  <c r="B33" i="11"/>
  <c r="B38" i="11"/>
  <c r="G20" i="25" a="1"/>
  <c r="G18" i="25" a="1"/>
  <c r="F15" i="26" a="1"/>
  <c r="F22" i="26" a="1"/>
  <c r="C3" i="26" a="1"/>
  <c r="B19" i="25" a="1"/>
  <c r="G15" i="26" a="1"/>
  <c r="B14" i="26" a="1"/>
  <c r="G8" i="25" a="1"/>
  <c r="F18" i="25" a="1"/>
  <c r="G6" i="25" a="1"/>
  <c r="B15" i="26" a="1"/>
  <c r="C15" i="25" a="1"/>
  <c r="B4" i="25" a="1"/>
  <c r="F15" i="25" a="1"/>
  <c r="F4" i="25" a="1"/>
  <c r="F21" i="26" a="1"/>
  <c r="D18" i="26" a="1"/>
  <c r="H4" i="26" a="1"/>
  <c r="B22" i="25" a="1"/>
  <c r="H24" i="26" a="1"/>
  <c r="D6" i="26" a="1"/>
  <c r="B3" i="25" a="1"/>
  <c r="F25" i="25" a="1"/>
  <c r="F9" i="25" a="1"/>
  <c r="G7" i="25" a="1"/>
  <c r="H10" i="26" a="1"/>
  <c r="B5" i="26" a="1"/>
  <c r="B4" i="26" a="1"/>
  <c r="B12" i="26" a="1"/>
  <c r="C10" i="25" a="1"/>
  <c r="F13" i="25" a="1"/>
  <c r="G15" i="25" a="1"/>
  <c r="B6" i="25" a="1"/>
  <c r="B11" i="25" a="1"/>
  <c r="D23" i="26" a="1"/>
  <c r="G5" i="25" a="1"/>
  <c r="F10" i="25" a="1"/>
  <c r="G18" i="26" a="1"/>
  <c r="H11" i="26" a="1"/>
  <c r="B25" i="25" a="1"/>
  <c r="H21" i="26" a="1"/>
  <c r="G11" i="26" a="1"/>
  <c r="G3" i="26" a="1"/>
  <c r="C19" i="25" a="1"/>
  <c r="H6" i="26" a="1"/>
  <c r="G3" i="25" a="1"/>
  <c r="C21" i="25" a="1"/>
  <c r="G19" i="26" a="1"/>
  <c r="F11" i="26" a="1"/>
  <c r="C13" i="25" a="1"/>
  <c r="C24" i="25" a="1"/>
  <c r="C8" i="26" a="1"/>
  <c r="D19" i="26" a="1"/>
  <c r="D3" i="26" a="1"/>
  <c r="D15" i="26" a="1"/>
  <c r="C15" i="26" a="1"/>
  <c r="F17" i="26" a="1"/>
  <c r="D24" i="26" a="1"/>
  <c r="D14" i="26" a="1"/>
  <c r="B21" i="26" a="1"/>
  <c r="B9" i="26" a="1"/>
  <c r="F8" i="26" a="1"/>
  <c r="F6" i="25" a="1"/>
  <c r="F10" i="26" a="1"/>
  <c r="G8" i="26" a="1"/>
  <c r="G16" i="26" a="1"/>
  <c r="F5" i="26" a="1"/>
  <c r="G21" i="26" a="1"/>
  <c r="H7" i="26" a="1"/>
  <c r="C23" i="26" a="1"/>
  <c r="F24" i="25" a="1"/>
  <c r="H3" i="26" a="1"/>
  <c r="B24" i="26" a="1"/>
  <c r="B23" i="26" a="1"/>
  <c r="B9" i="25" a="1"/>
  <c r="H22" i="26" a="1"/>
  <c r="D22" i="26" a="1"/>
  <c r="G24" i="26" a="1"/>
  <c r="C25" i="26" a="1"/>
  <c r="G24" i="25" a="1"/>
  <c r="G12" i="26" a="1"/>
  <c r="C21" i="26" a="1"/>
  <c r="C20" i="25" a="1"/>
  <c r="B25" i="26" a="1"/>
  <c r="B16" i="26" a="1"/>
  <c r="B11" i="26" a="1"/>
  <c r="C18" i="25" a="1"/>
  <c r="C16" i="25" a="1"/>
  <c r="H8" i="26" a="1"/>
  <c r="B7" i="26" a="1"/>
  <c r="F11" i="25" a="1"/>
  <c r="B15" i="25" a="1"/>
  <c r="F20" i="25" a="1"/>
  <c r="C5" i="26" a="1"/>
  <c r="D16" i="26" a="1"/>
  <c r="C11" i="26" a="1"/>
  <c r="G9" i="26" a="1"/>
  <c r="B8" i="26" a="1"/>
  <c r="B19" i="26" a="1"/>
  <c r="C6" i="26" a="1"/>
  <c r="H16" i="26" a="1"/>
  <c r="C19" i="26" a="1"/>
  <c r="H18" i="26" a="1"/>
  <c r="C6" i="25" a="1"/>
  <c r="C8" i="25" a="1"/>
  <c r="B22" i="26" a="1"/>
  <c r="B20" i="25" a="1"/>
  <c r="B18" i="26" a="1"/>
  <c r="G22" i="26" a="1"/>
  <c r="H25" i="26" a="1"/>
  <c r="B18" i="25" a="1"/>
  <c r="G25" i="25" a="1"/>
  <c r="B12" i="25" a="1"/>
  <c r="G17" i="26" a="1"/>
  <c r="G17" i="25" a="1"/>
  <c r="C10" i="26" a="1"/>
  <c r="H9" i="26" a="1"/>
  <c r="C9" i="26" a="1"/>
  <c r="B20" i="26" a="1"/>
  <c r="F13" i="26" a="1"/>
  <c r="B10" i="26" a="1"/>
  <c r="G11" i="25" a="1"/>
  <c r="F22" i="25" a="1"/>
  <c r="F5" i="25" a="1"/>
  <c r="H14" i="26" a="1"/>
  <c r="D21" i="26" a="1"/>
  <c r="G13" i="25" a="1"/>
  <c r="C22" i="25" a="1"/>
  <c r="H13" i="26" a="1"/>
  <c r="B23" i="25" a="1"/>
  <c r="F12" i="25" a="1"/>
  <c r="G19" i="25" a="1"/>
  <c r="D4" i="26" a="1"/>
  <c r="C4" i="26" a="1"/>
  <c r="F19" i="26" a="1"/>
  <c r="D10" i="26" a="1"/>
  <c r="G9" i="25" a="1"/>
  <c r="F17" i="25" a="1"/>
  <c r="F6" i="26" a="1"/>
  <c r="C7" i="26" a="1"/>
  <c r="F7" i="26" a="1"/>
  <c r="D13" i="26" a="1"/>
  <c r="B16" i="25" a="1"/>
  <c r="F20" i="26" a="1"/>
  <c r="F8" i="25" a="1"/>
  <c r="G7" i="26" a="1"/>
  <c r="C4" i="25" a="1"/>
  <c r="F14" i="26" a="1"/>
  <c r="B6" i="26" a="1"/>
  <c r="F18" i="26" a="1"/>
  <c r="G16" i="25" a="1"/>
  <c r="C12" i="25" a="1"/>
  <c r="C25" i="25" a="1"/>
  <c r="G14" i="25" a="1"/>
  <c r="B10" i="25" a="1"/>
  <c r="B24" i="25" a="1"/>
  <c r="F23" i="26" a="1"/>
  <c r="F12" i="26" a="1"/>
  <c r="F9" i="26" a="1"/>
  <c r="G13" i="26" a="1"/>
  <c r="G10" i="26" a="1"/>
  <c r="H19" i="26" a="1"/>
  <c r="C14" i="25" a="1"/>
  <c r="F21" i="25" a="1"/>
  <c r="F23" i="25" a="1"/>
  <c r="B17" i="25" a="1"/>
  <c r="C7" i="25" a="1"/>
  <c r="G6" i="26" a="1"/>
  <c r="C13" i="26" a="1"/>
  <c r="G21" i="25" a="1"/>
  <c r="C3" i="25" a="1"/>
  <c r="F24" i="26" a="1"/>
  <c r="D8" i="26" a="1"/>
  <c r="G25" i="26" a="1"/>
  <c r="D20" i="26" a="1"/>
  <c r="F14" i="25" a="1"/>
  <c r="H15" i="26" a="1"/>
  <c r="F7" i="25" a="1"/>
  <c r="G4" i="25" a="1"/>
  <c r="H5" i="26" a="1"/>
  <c r="C12" i="26" a="1"/>
  <c r="C20" i="26" a="1"/>
  <c r="G14" i="26" a="1"/>
  <c r="G4" i="26" a="1"/>
  <c r="H12" i="26" a="1"/>
  <c r="F25" i="26" a="1"/>
  <c r="F19" i="25" a="1"/>
  <c r="D12" i="26" a="1"/>
  <c r="F16" i="26" a="1"/>
  <c r="C14" i="26" a="1"/>
  <c r="D17" i="26" a="1"/>
  <c r="H17" i="26" a="1"/>
  <c r="B5" i="25" a="1"/>
  <c r="B7" i="25" a="1"/>
  <c r="H20" i="26" a="1"/>
  <c r="C24" i="26" a="1"/>
  <c r="F4" i="26" a="1"/>
  <c r="D25" i="26" a="1"/>
  <c r="C23" i="25" a="1"/>
  <c r="C5" i="25" a="1"/>
  <c r="B13" i="25" a="1"/>
  <c r="D5" i="26" a="1"/>
  <c r="F3" i="26" a="1"/>
  <c r="B13" i="26" a="1"/>
  <c r="C9" i="25" a="1"/>
  <c r="B3" i="26" a="1"/>
  <c r="H23" i="26" a="1"/>
  <c r="G22" i="25" a="1"/>
  <c r="D7" i="26" a="1"/>
  <c r="G10" i="25" a="1"/>
  <c r="G5" i="26" a="1"/>
  <c r="C18" i="26" a="1"/>
  <c r="F3" i="25" a="1"/>
  <c r="C17" i="26" a="1"/>
  <c r="G23" i="25" a="1"/>
  <c r="C17" i="25" a="1"/>
  <c r="D9" i="26" a="1"/>
  <c r="B8" i="25" a="1"/>
  <c r="C11" i="25" a="1"/>
  <c r="C22" i="26" a="1"/>
  <c r="G23" i="26" a="1"/>
  <c r="B21" i="25" a="1"/>
  <c r="C16" i="26" a="1"/>
  <c r="B14" i="25" a="1"/>
  <c r="G20" i="26" a="1"/>
  <c r="F16" i="25" a="1"/>
  <c r="G12" i="25" a="1"/>
  <c r="D11" i="26" a="1"/>
  <c r="B17" i="26" a="1"/>
  <c r="B48" i="11" l="1"/>
  <c r="G22" i="25"/>
  <c r="F16" i="26"/>
  <c r="G4" i="26"/>
  <c r="B23" i="26"/>
  <c r="G6" i="25"/>
  <c r="C8" i="26"/>
  <c r="F3" i="26"/>
  <c r="D18" i="26"/>
  <c r="F23" i="26"/>
  <c r="C3" i="25"/>
  <c r="H18" i="26"/>
  <c r="D12" i="26"/>
  <c r="B4" i="26"/>
  <c r="D3" i="26"/>
  <c r="F6" i="26"/>
  <c r="C10" i="26"/>
  <c r="C14" i="26"/>
  <c r="F22" i="26"/>
  <c r="F12" i="26"/>
  <c r="C25" i="26"/>
  <c r="C9" i="25"/>
  <c r="F5" i="26"/>
  <c r="B5" i="26"/>
  <c r="F10" i="26"/>
  <c r="G9" i="26"/>
  <c r="F17" i="25"/>
  <c r="D4" i="26"/>
  <c r="C5" i="26"/>
  <c r="C23" i="26"/>
  <c r="B24" i="25"/>
  <c r="H7" i="26"/>
  <c r="F18" i="25"/>
  <c r="G3" i="26"/>
  <c r="G3" i="25"/>
  <c r="C17" i="26"/>
  <c r="G7" i="26"/>
  <c r="H22" i="26"/>
  <c r="G9" i="25"/>
  <c r="C12" i="25"/>
  <c r="B8" i="25"/>
  <c r="B16" i="25"/>
  <c r="G4" i="25"/>
  <c r="H6" i="26"/>
  <c r="D9" i="26"/>
  <c r="B25" i="25"/>
  <c r="F6" i="25"/>
  <c r="B19" i="25"/>
  <c r="B19" i="26"/>
  <c r="B20" i="26"/>
  <c r="C9" i="26"/>
  <c r="C13" i="26"/>
  <c r="C25" i="25"/>
  <c r="G20" i="25"/>
  <c r="C22" i="25"/>
  <c r="H13" i="26"/>
  <c r="F14" i="26"/>
  <c r="C24" i="25"/>
  <c r="C8" i="25"/>
  <c r="H23" i="26"/>
  <c r="H5" i="26"/>
  <c r="B11" i="25"/>
  <c r="F18" i="26"/>
  <c r="H12" i="26"/>
  <c r="F17" i="26"/>
  <c r="B6" i="26"/>
  <c r="B4" i="25"/>
  <c r="G17" i="25"/>
  <c r="G6" i="26"/>
  <c r="F13" i="25"/>
  <c r="F24" i="25"/>
  <c r="G11" i="26"/>
  <c r="G14" i="26"/>
  <c r="H15" i="26"/>
  <c r="H9" i="26"/>
  <c r="F20" i="25"/>
  <c r="G25" i="25"/>
  <c r="G24" i="26"/>
  <c r="G14" i="25"/>
  <c r="D11" i="26"/>
  <c r="D23" i="26"/>
  <c r="H4" i="26"/>
  <c r="F23" i="25"/>
  <c r="G7" i="25"/>
  <c r="G25" i="26"/>
  <c r="C11" i="25"/>
  <c r="G12" i="25"/>
  <c r="B6" i="25"/>
  <c r="H11" i="26"/>
  <c r="H8" i="26"/>
  <c r="F8" i="26"/>
  <c r="F11" i="25"/>
  <c r="F11" i="26"/>
  <c r="B21" i="25"/>
  <c r="B9" i="25"/>
  <c r="G13" i="25"/>
  <c r="B7" i="26"/>
  <c r="D7" i="26"/>
  <c r="D17" i="26"/>
  <c r="D8" i="26"/>
  <c r="D24" i="26"/>
  <c r="G20" i="26"/>
  <c r="B12" i="26"/>
  <c r="B23" i="25"/>
  <c r="F10" i="25"/>
  <c r="F8" i="25"/>
  <c r="B21" i="26"/>
  <c r="C18" i="26"/>
  <c r="G10" i="26"/>
  <c r="F19" i="26"/>
  <c r="B12" i="25"/>
  <c r="F7" i="25"/>
  <c r="D15" i="26"/>
  <c r="B15" i="25"/>
  <c r="F22" i="25"/>
  <c r="B8" i="26"/>
  <c r="D14" i="26"/>
  <c r="H16" i="26"/>
  <c r="G5" i="26"/>
  <c r="C15" i="26"/>
  <c r="B7" i="25"/>
  <c r="B22" i="26"/>
  <c r="C3" i="26"/>
  <c r="F21" i="26"/>
  <c r="C6" i="25"/>
  <c r="D5" i="26"/>
  <c r="C4" i="26"/>
  <c r="G17" i="26"/>
  <c r="C6" i="26"/>
  <c r="B11" i="26"/>
  <c r="F14" i="25"/>
  <c r="C21" i="26"/>
  <c r="G24" i="25"/>
  <c r="B5" i="25"/>
  <c r="G8" i="26"/>
  <c r="H20" i="26"/>
  <c r="B20" i="25"/>
  <c r="B16" i="26"/>
  <c r="C18" i="25"/>
  <c r="C11" i="26"/>
  <c r="C5" i="25"/>
  <c r="D13" i="26"/>
  <c r="C14" i="25"/>
  <c r="C21" i="25"/>
  <c r="B18" i="25"/>
  <c r="F3" i="25"/>
  <c r="B18" i="26"/>
  <c r="D20" i="26"/>
  <c r="G16" i="25"/>
  <c r="H3" i="26"/>
  <c r="G23" i="25"/>
  <c r="C15" i="25"/>
  <c r="F4" i="25"/>
  <c r="D25" i="26"/>
  <c r="G21" i="25"/>
  <c r="B9" i="26"/>
  <c r="C19" i="25"/>
  <c r="G13" i="26"/>
  <c r="H24" i="26"/>
  <c r="B17" i="26"/>
  <c r="B10" i="26"/>
  <c r="F13" i="26"/>
  <c r="F9" i="25"/>
  <c r="F5" i="25"/>
  <c r="G15" i="26"/>
  <c r="C22" i="26"/>
  <c r="D6" i="26"/>
  <c r="F15" i="25"/>
  <c r="F16" i="25"/>
  <c r="C20" i="25"/>
  <c r="B3" i="26"/>
  <c r="G10" i="25"/>
  <c r="B10" i="25"/>
  <c r="C12" i="26"/>
  <c r="C23" i="25"/>
  <c r="G15" i="25"/>
  <c r="C13" i="25"/>
  <c r="C10" i="25"/>
  <c r="G16" i="26"/>
  <c r="G5" i="25"/>
  <c r="C20" i="26"/>
  <c r="H19" i="26"/>
  <c r="B22" i="25"/>
  <c r="F21" i="25"/>
  <c r="D21" i="26"/>
  <c r="B24" i="26"/>
  <c r="F25" i="25"/>
  <c r="G22" i="26"/>
  <c r="G8" i="25"/>
  <c r="D22" i="26"/>
  <c r="D16" i="26"/>
  <c r="G21" i="26"/>
  <c r="F19" i="25"/>
  <c r="B3" i="25"/>
  <c r="G18" i="25"/>
  <c r="C4" i="25"/>
  <c r="F20" i="26"/>
  <c r="C19" i="26"/>
  <c r="F12" i="25"/>
  <c r="F24" i="26"/>
  <c r="C16" i="25"/>
  <c r="B15" i="26"/>
  <c r="H25" i="26"/>
  <c r="H10" i="26"/>
  <c r="D19" i="26"/>
  <c r="B17" i="25"/>
  <c r="C7" i="26"/>
  <c r="B25" i="26"/>
  <c r="G19" i="25"/>
  <c r="H17" i="26"/>
  <c r="F7" i="26"/>
  <c r="F25" i="26"/>
  <c r="B13" i="25"/>
  <c r="G12" i="26"/>
  <c r="G18" i="26"/>
  <c r="F9" i="26"/>
  <c r="G11" i="25"/>
  <c r="C17" i="25"/>
  <c r="C24" i="26"/>
  <c r="G23" i="26"/>
  <c r="G19" i="26"/>
  <c r="B14" i="26"/>
  <c r="C16" i="26"/>
  <c r="H21" i="26"/>
  <c r="F15" i="26"/>
  <c r="D10" i="26"/>
  <c r="B13" i="26"/>
  <c r="B14" i="25"/>
  <c r="F4" i="26"/>
  <c r="H14" i="26"/>
  <c r="C7" i="25"/>
  <c r="B34" i="11"/>
  <c r="B27" i="11"/>
  <c r="B41" i="11"/>
  <c r="B20" i="11"/>
  <c r="B13" i="11"/>
  <c r="H22" i="25" a="1"/>
  <c r="D22" i="25" a="1"/>
  <c r="D4" i="25" a="1"/>
  <c r="D17" i="25" a="1"/>
  <c r="D9" i="25" a="1"/>
  <c r="H6" i="25" a="1"/>
  <c r="D14" i="25" a="1"/>
  <c r="H18" i="25" a="1"/>
  <c r="H12" i="25" a="1"/>
  <c r="D11" i="25" a="1"/>
  <c r="H20" i="25" a="1"/>
  <c r="D10" i="25" a="1"/>
  <c r="H8" i="25" a="1"/>
  <c r="H17" i="25" a="1"/>
  <c r="H7" i="25" a="1"/>
  <c r="H5" i="25" a="1"/>
  <c r="H21" i="25" a="1"/>
  <c r="D21" i="25" a="1"/>
  <c r="H10" i="25" a="1"/>
  <c r="D20" i="25" a="1"/>
  <c r="H25" i="25" a="1"/>
  <c r="D12" i="25" a="1"/>
  <c r="H23" i="25" a="1"/>
  <c r="H3" i="25" a="1"/>
  <c r="H13" i="25" a="1"/>
  <c r="H16" i="25" a="1"/>
  <c r="H19" i="25" a="1"/>
  <c r="H9" i="25" a="1"/>
  <c r="D7" i="25" a="1"/>
  <c r="D24" i="25" a="1"/>
  <c r="H14" i="25" a="1"/>
  <c r="D13" i="25" a="1"/>
  <c r="D25" i="25" a="1"/>
  <c r="H15" i="25" a="1"/>
  <c r="H24" i="25" a="1"/>
  <c r="D19" i="25" a="1"/>
  <c r="D18" i="25" a="1"/>
  <c r="D3" i="25" a="1"/>
  <c r="D5" i="25" a="1"/>
  <c r="D16" i="25" a="1"/>
  <c r="D6" i="25" a="1"/>
  <c r="D23" i="25" a="1"/>
  <c r="D15" i="25" a="1"/>
  <c r="H11" i="25" a="1"/>
  <c r="H4" i="25" a="1"/>
  <c r="J22" i="26" l="1"/>
  <c r="J23" i="28"/>
  <c r="J6" i="28"/>
  <c r="J24" i="29"/>
  <c r="J14" i="26"/>
  <c r="J16" i="26"/>
  <c r="J11" i="26"/>
  <c r="J21" i="26"/>
  <c r="J12" i="29"/>
  <c r="J13" i="26"/>
  <c r="J16" i="29"/>
  <c r="J19" i="28"/>
  <c r="J10" i="26"/>
  <c r="J8" i="26"/>
  <c r="J12" i="26"/>
  <c r="J7" i="29"/>
  <c r="J25" i="26"/>
  <c r="J20" i="26"/>
  <c r="J15" i="26"/>
  <c r="J3" i="26"/>
  <c r="J6" i="26"/>
  <c r="J24" i="26"/>
  <c r="O10" i="29" a="1"/>
  <c r="O10" i="29" s="1"/>
  <c r="S8" i="28" a="1"/>
  <c r="S8" i="28" s="1"/>
  <c r="L35" i="28" s="1" a="1"/>
  <c r="L35" i="28" s="1"/>
  <c r="J14" i="28"/>
  <c r="J24" i="28"/>
  <c r="J10" i="28"/>
  <c r="J7" i="26"/>
  <c r="J5" i="26"/>
  <c r="J17" i="28"/>
  <c r="J23" i="26"/>
  <c r="J21" i="29"/>
  <c r="J17" i="29"/>
  <c r="J23" i="29"/>
  <c r="J3" i="28"/>
  <c r="J12" i="28"/>
  <c r="J9" i="26"/>
  <c r="J25" i="28"/>
  <c r="J5" i="29"/>
  <c r="J17" i="26"/>
  <c r="O9" i="26" a="1"/>
  <c r="O9" i="26" s="1"/>
  <c r="S11" i="26" a="1"/>
  <c r="S11" i="26" s="1"/>
  <c r="J18" i="26"/>
  <c r="J6" i="29"/>
  <c r="J13" i="28"/>
  <c r="S7" i="28" a="1"/>
  <c r="S7" i="28" s="1"/>
  <c r="S6" i="29" a="1"/>
  <c r="S6" i="29" s="1"/>
  <c r="J13" i="29"/>
  <c r="J9" i="28"/>
  <c r="J19" i="26"/>
  <c r="S10" i="26" a="1"/>
  <c r="S10" i="26" s="1"/>
  <c r="S6" i="28" a="1"/>
  <c r="S6" i="28" s="1"/>
  <c r="O10" i="26" a="1"/>
  <c r="O10" i="26" s="1"/>
  <c r="J8" i="28"/>
  <c r="O11" i="26" a="1"/>
  <c r="O11" i="26" s="1"/>
  <c r="O9" i="28" a="1"/>
  <c r="O9" i="28" s="1"/>
  <c r="S5" i="26" a="1"/>
  <c r="S5" i="26" s="1"/>
  <c r="S7" i="26" a="1"/>
  <c r="S7" i="26" s="1"/>
  <c r="S8" i="26" a="1"/>
  <c r="S8" i="26" s="1"/>
  <c r="O10" i="28" a="1"/>
  <c r="O10" i="28" s="1"/>
  <c r="J5" i="28"/>
  <c r="J9" i="29"/>
  <c r="S9" i="26" a="1"/>
  <c r="S9" i="26" s="1"/>
  <c r="J4" i="26"/>
  <c r="O5" i="28" a="1"/>
  <c r="O5" i="28" s="1"/>
  <c r="O7" i="29" a="1"/>
  <c r="O7" i="29" s="1"/>
  <c r="J25" i="29"/>
  <c r="O6" i="26" a="1"/>
  <c r="O6" i="26" s="1"/>
  <c r="S6" i="26" a="1"/>
  <c r="S6" i="26" s="1"/>
  <c r="O11" i="28" a="1"/>
  <c r="O11" i="28" s="1"/>
  <c r="O5" i="26" a="1"/>
  <c r="O5" i="26" s="1"/>
  <c r="O6" i="28" a="1"/>
  <c r="O6" i="28" s="1"/>
  <c r="O6" i="29" a="1"/>
  <c r="O6" i="29" s="1"/>
  <c r="S5" i="28" a="1"/>
  <c r="S5" i="28" s="1"/>
  <c r="S9" i="28" a="1"/>
  <c r="S9" i="28" s="1"/>
  <c r="J15" i="29"/>
  <c r="O7" i="28" a="1"/>
  <c r="O7" i="28" s="1"/>
  <c r="J20" i="28"/>
  <c r="S11" i="29" a="1"/>
  <c r="S11" i="29" s="1"/>
  <c r="S10" i="28" a="1"/>
  <c r="S10" i="28" s="1"/>
  <c r="J14" i="29"/>
  <c r="J4" i="29"/>
  <c r="S11" i="28" a="1"/>
  <c r="S11" i="28" s="1"/>
  <c r="J16" i="28"/>
  <c r="O7" i="26" a="1"/>
  <c r="O7" i="26" s="1"/>
  <c r="O8" i="26" a="1"/>
  <c r="O8" i="26" s="1"/>
  <c r="F35" i="26" s="1" a="1"/>
  <c r="F35" i="26" s="1"/>
  <c r="O8" i="28" a="1"/>
  <c r="O8" i="28" s="1"/>
  <c r="E35" i="28" s="1" a="1"/>
  <c r="E35" i="28" s="1"/>
  <c r="S9" i="29" a="1"/>
  <c r="S9" i="29" s="1"/>
  <c r="J8" i="29"/>
  <c r="S10" i="29" a="1"/>
  <c r="S10" i="29" s="1"/>
  <c r="S5" i="29" a="1"/>
  <c r="S5" i="29" s="1"/>
  <c r="J22" i="29"/>
  <c r="S8" i="29" a="1"/>
  <c r="S8" i="29" s="1"/>
  <c r="K35" i="29" s="1" a="1"/>
  <c r="K35" i="29" s="1"/>
  <c r="J20" i="29"/>
  <c r="J18" i="29"/>
  <c r="S7" i="29" a="1"/>
  <c r="S7" i="29" s="1"/>
  <c r="J15" i="28"/>
  <c r="O9" i="29" a="1"/>
  <c r="O9" i="29" s="1"/>
  <c r="J7" i="28"/>
  <c r="O8" i="29" a="1"/>
  <c r="O8" i="29" s="1"/>
  <c r="E35" i="29" s="1" a="1"/>
  <c r="E35" i="29" s="1"/>
  <c r="O11" i="29" a="1"/>
  <c r="O11" i="29" s="1"/>
  <c r="J22" i="28"/>
  <c r="J10" i="29"/>
  <c r="O5" i="29" a="1"/>
  <c r="O5" i="29" s="1"/>
  <c r="J18" i="28"/>
  <c r="J21" i="28"/>
  <c r="J3" i="29"/>
  <c r="J19" i="29"/>
  <c r="J11" i="29"/>
  <c r="J11" i="28"/>
  <c r="H3" i="25"/>
  <c r="D24" i="25"/>
  <c r="D18" i="25"/>
  <c r="D15" i="25"/>
  <c r="D6" i="25"/>
  <c r="H8" i="25"/>
  <c r="J8" i="25" s="1"/>
  <c r="H12" i="25"/>
  <c r="D11" i="25"/>
  <c r="D25" i="25"/>
  <c r="H23" i="25"/>
  <c r="H20" i="25"/>
  <c r="H17" i="25"/>
  <c r="D13" i="25"/>
  <c r="D5" i="25"/>
  <c r="H6" i="25"/>
  <c r="H25" i="25"/>
  <c r="D21" i="25"/>
  <c r="H13" i="25"/>
  <c r="H7" i="25"/>
  <c r="H4" i="25"/>
  <c r="D12" i="25"/>
  <c r="H10" i="25"/>
  <c r="H24" i="25"/>
  <c r="D23" i="25"/>
  <c r="H21" i="25"/>
  <c r="D20" i="25"/>
  <c r="H18" i="25"/>
  <c r="D17" i="25"/>
  <c r="H15" i="25"/>
  <c r="D14" i="25"/>
  <c r="H9" i="25"/>
  <c r="H11" i="25"/>
  <c r="H22" i="25"/>
  <c r="H19" i="25"/>
  <c r="H16" i="25"/>
  <c r="D3" i="25"/>
  <c r="D10" i="25"/>
  <c r="D9" i="25"/>
  <c r="H5" i="25"/>
  <c r="D22" i="25"/>
  <c r="D19" i="25"/>
  <c r="D16" i="25"/>
  <c r="H14" i="25"/>
  <c r="D7" i="25"/>
  <c r="D4" i="25"/>
  <c r="B6" i="11"/>
  <c r="L34" i="26" l="1" a="1"/>
  <c r="L34" i="26" s="1"/>
  <c r="J36" i="29" a="1"/>
  <c r="J36" i="29" s="1"/>
  <c r="G34" i="26" a="1"/>
  <c r="G34" i="26" s="1"/>
  <c r="L36" i="28" a="1"/>
  <c r="L36" i="28" s="1"/>
  <c r="J35" i="28" a="1"/>
  <c r="J35" i="28" s="1"/>
  <c r="K35" i="28" a="1"/>
  <c r="K35" i="28" s="1"/>
  <c r="K34" i="26" a="1"/>
  <c r="K34" i="26" s="1"/>
  <c r="F36" i="26" a="1"/>
  <c r="F36" i="26" s="1"/>
  <c r="G36" i="26" a="1"/>
  <c r="G36" i="26" s="1"/>
  <c r="J34" i="28" a="1"/>
  <c r="J34" i="28" s="1"/>
  <c r="L36" i="26" a="1"/>
  <c r="L36" i="26" s="1"/>
  <c r="K34" i="29" a="1"/>
  <c r="K34" i="29" s="1"/>
  <c r="F34" i="26" a="1"/>
  <c r="F34" i="26" s="1"/>
  <c r="G36" i="28" a="1"/>
  <c r="G36" i="28" s="1"/>
  <c r="L36" i="29" a="1"/>
  <c r="L36" i="29" s="1"/>
  <c r="J34" i="26" a="1"/>
  <c r="J34" i="26" s="1"/>
  <c r="E36" i="26" a="1"/>
  <c r="E36" i="26" s="1"/>
  <c r="E36" i="28" a="1"/>
  <c r="E36" i="28" s="1"/>
  <c r="L34" i="29" a="1"/>
  <c r="L34" i="29" s="1"/>
  <c r="F36" i="28" a="1"/>
  <c r="F36" i="28" s="1"/>
  <c r="F34" i="29" a="1"/>
  <c r="F34" i="29" s="1"/>
  <c r="E34" i="26" a="1"/>
  <c r="E34" i="26" s="1"/>
  <c r="J34" i="29" a="1"/>
  <c r="J34" i="29" s="1"/>
  <c r="G34" i="28" a="1"/>
  <c r="G34" i="28" s="1"/>
  <c r="L34" i="28" a="1"/>
  <c r="L34" i="28" s="1"/>
  <c r="K36" i="28" a="1"/>
  <c r="K36" i="28" s="1"/>
  <c r="G35" i="26" a="1"/>
  <c r="G35" i="26" s="1"/>
  <c r="F34" i="28" a="1"/>
  <c r="F34" i="28" s="1"/>
  <c r="K36" i="26" a="1"/>
  <c r="K36" i="26" s="1"/>
  <c r="F35" i="28" a="1"/>
  <c r="F35" i="28" s="1"/>
  <c r="E35" i="26" a="1"/>
  <c r="E35" i="26" s="1"/>
  <c r="K36" i="29" a="1"/>
  <c r="K36" i="29" s="1"/>
  <c r="G36" i="29" a="1"/>
  <c r="G36" i="29" s="1"/>
  <c r="G35" i="28" a="1"/>
  <c r="G35" i="28" s="1"/>
  <c r="G34" i="29" a="1"/>
  <c r="G34" i="29" s="1"/>
  <c r="E34" i="28" a="1"/>
  <c r="E34" i="28" s="1"/>
  <c r="J36" i="26" a="1"/>
  <c r="J36" i="26" s="1"/>
  <c r="G35" i="29" a="1"/>
  <c r="G35" i="29" s="1"/>
  <c r="F35" i="29" a="1"/>
  <c r="F35" i="29" s="1"/>
  <c r="K34" i="28" a="1"/>
  <c r="K34" i="28" s="1"/>
  <c r="J36" i="28" a="1"/>
  <c r="J36" i="28" s="1"/>
  <c r="J35" i="29" a="1"/>
  <c r="J35" i="29" s="1"/>
  <c r="L35" i="29" a="1"/>
  <c r="L35" i="29" s="1"/>
  <c r="E36" i="29" a="1"/>
  <c r="E36" i="29" s="1"/>
  <c r="E34" i="29" a="1"/>
  <c r="E34" i="29" s="1"/>
  <c r="F36" i="29" a="1"/>
  <c r="F36" i="29" s="1"/>
  <c r="J12" i="25"/>
  <c r="J24" i="25"/>
  <c r="J25" i="25"/>
  <c r="J16" i="25"/>
  <c r="J19" i="25"/>
  <c r="J21" i="25"/>
  <c r="J6" i="25"/>
  <c r="J22" i="25"/>
  <c r="J14" i="25"/>
  <c r="J17" i="25"/>
  <c r="J9" i="25"/>
  <c r="J11" i="25"/>
  <c r="J10" i="25"/>
  <c r="J20" i="25"/>
  <c r="J15" i="25"/>
  <c r="J18" i="25"/>
  <c r="J4" i="25"/>
  <c r="J23" i="25"/>
  <c r="J5" i="25"/>
  <c r="J7" i="25"/>
  <c r="J13" i="25"/>
  <c r="J3" i="25"/>
  <c r="O5" i="25" a="1"/>
  <c r="O5" i="25" s="1"/>
  <c r="O6" i="25" a="1"/>
  <c r="O6" i="25" s="1"/>
  <c r="O7" i="25" a="1"/>
  <c r="O7" i="25" s="1"/>
  <c r="O8" i="25" a="1"/>
  <c r="O8" i="25" s="1"/>
  <c r="O9" i="25" a="1"/>
  <c r="O9" i="25" s="1"/>
  <c r="O10" i="25" a="1"/>
  <c r="O10" i="25" s="1"/>
  <c r="O11" i="25" a="1"/>
  <c r="O11" i="25" s="1"/>
  <c r="S9" i="25" a="1"/>
  <c r="S9" i="25" s="1"/>
  <c r="S7" i="25" a="1"/>
  <c r="S7" i="25" s="1"/>
  <c r="S10" i="25" a="1"/>
  <c r="S10" i="25" s="1"/>
  <c r="S8" i="25" a="1"/>
  <c r="S8" i="25" s="1"/>
  <c r="S6" i="25" a="1"/>
  <c r="S6" i="25" s="1"/>
  <c r="S11" i="25" a="1"/>
  <c r="S11" i="25" s="1"/>
  <c r="S5" i="25" a="1"/>
  <c r="S5" i="25" s="1"/>
  <c r="L36" i="25" l="1" a="1"/>
  <c r="L36" i="25" s="1"/>
  <c r="K35" i="25" a="1"/>
  <c r="K35" i="25" s="1"/>
  <c r="L35" i="25" a="1"/>
  <c r="L35" i="25" s="1"/>
  <c r="L34" i="25" a="1"/>
  <c r="L34" i="25" s="1"/>
  <c r="K36" i="25" a="1"/>
  <c r="K36" i="25" s="1"/>
  <c r="K34" i="25" a="1"/>
  <c r="K34" i="25" s="1"/>
  <c r="J36" i="25" a="1"/>
  <c r="J36" i="25" s="1"/>
  <c r="J34" i="25" a="1"/>
  <c r="J34" i="25" s="1"/>
  <c r="J35" i="25" a="1"/>
  <c r="J35" i="25" s="1"/>
  <c r="E36" i="25" a="1"/>
  <c r="E36" i="25" s="1"/>
  <c r="F35" i="25" a="1"/>
  <c r="F35" i="25" s="1"/>
  <c r="E35" i="25" a="1"/>
  <c r="E35" i="25" s="1"/>
  <c r="E34" i="25" a="1"/>
  <c r="E34" i="25" s="1"/>
  <c r="F36" i="25" a="1"/>
  <c r="F36" i="25" s="1"/>
  <c r="G34" i="25" a="1"/>
  <c r="G34" i="25" s="1"/>
  <c r="F34" i="25" a="1"/>
  <c r="F34" i="25" s="1"/>
  <c r="G36" i="25" a="1"/>
  <c r="G36" i="25" s="1"/>
  <c r="G35" i="25" a="1"/>
  <c r="G35" i="2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<sst xmlns="http://schemas.openxmlformats.org/spreadsheetml/2006/main" count="1602" uniqueCount="201">
  <si>
    <t>ID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</si>
  <si>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</si>
  <si>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</si>
  <si>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</si>
  <si>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</si>
  <si>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</si>
  <si>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</si>
  <si>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</si>
  <si>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</si>
  <si>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</si>
  <si>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</si>
  <si>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</si>
  <si>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</si>
  <si>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</si>
  <si>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</si>
  <si>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</si>
  <si>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</si>
  <si>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</si>
  <si>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</si>
  <si>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Complex numbers</t>
  </si>
  <si>
    <t>T28</t>
  </si>
  <si>
    <t>T29</t>
  </si>
  <si>
    <t>T30</t>
  </si>
  <si>
    <t>T31</t>
  </si>
  <si>
    <t>Buffer IO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</si>
  <si>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</si>
  <si>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</si>
  <si>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</si>
  <si>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</si>
  <si>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</si>
  <si>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</si>
  <si>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</si>
  <si>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</si>
  <si>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</si>
  <si>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</si>
  <si>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</si>
  <si>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</si>
  <si>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</si>
  <si>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</si>
  <si>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T49</t>
  </si>
  <si>
    <t>Sentinels</t>
  </si>
  <si>
    <t>T50</t>
  </si>
  <si>
    <t>Wasted Iterations</t>
  </si>
  <si>
    <t>T51</t>
  </si>
  <si>
    <t>Coarsening Recursion</t>
  </si>
  <si>
    <t>Technique</t>
  </si>
  <si>
    <t>Test</t>
  </si>
  <si>
    <t>Optimization</t>
  </si>
  <si>
    <t>Time (s)</t>
  </si>
  <si>
    <t>Power</t>
  </si>
  <si>
    <t>Consumption (with baseline)</t>
  </si>
  <si>
    <t>Consumption (without baseline)</t>
  </si>
  <si>
    <t>Impact of Optimization (O3-O0)/O0%</t>
  </si>
  <si>
    <t>HDD (w)</t>
  </si>
  <si>
    <t>CPU (w)</t>
  </si>
  <si>
    <t>DUT (w)</t>
  </si>
  <si>
    <t>HDD (J)</t>
  </si>
  <si>
    <t>CPU (J)</t>
  </si>
  <si>
    <t>DUT (J)</t>
  </si>
  <si>
    <t>Test1</t>
  </si>
  <si>
    <t>O0</t>
  </si>
  <si>
    <t>O3</t>
  </si>
  <si>
    <t>Test2</t>
  </si>
  <si>
    <t>Tecnica</t>
  </si>
  <si>
    <t>Impact of Technique ((Test2-Test1)/Test1%)</t>
  </si>
  <si>
    <t>Optimizacion</t>
  </si>
  <si>
    <t>Nuitka</t>
  </si>
  <si>
    <t>Reduces</t>
  </si>
  <si>
    <t>Increases</t>
  </si>
  <si>
    <t>Total</t>
  </si>
  <si>
    <t>C</t>
  </si>
  <si>
    <t>Python</t>
  </si>
  <si>
    <t>Programming language</t>
  </si>
  <si>
    <t>x</t>
  </si>
  <si>
    <t>Does not have a built-in switch construct.</t>
  </si>
  <si>
    <t>Does not have built-in support for pointers.</t>
  </si>
  <si>
    <t>Does not have a built-in do-while loop construct.</t>
  </si>
  <si>
    <t>Does not have register keyword.</t>
  </si>
  <si>
    <t>Does not exist the concept of pre-increment or post-increment.</t>
  </si>
  <si>
    <t>Does not have macros.</t>
  </si>
  <si>
    <t>Does not support direct initialization.</t>
  </si>
  <si>
    <t>Does not have Complex__ variable type.</t>
  </si>
  <si>
    <t>Does not have a mechanism like pass-by-value or pass-by-reference. Instead, it uses pass-by-assignment.</t>
  </si>
  <si>
    <t>Does not have a native struct data type.</t>
  </si>
  <si>
    <t>Does not have constants.</t>
  </si>
  <si>
    <t>Does not distinguish between initialization and assignment.</t>
  </si>
  <si>
    <t>Does not support constructor initialization lists.</t>
  </si>
  <si>
    <t>Does not support returning multiple boolean values as a single unsigned int.</t>
  </si>
  <si>
    <t>Name</t>
  </si>
  <si>
    <t>Categories</t>
  </si>
  <si>
    <t>Optimization level O0</t>
  </si>
  <si>
    <t>Optimization level O3</t>
  </si>
  <si>
    <t>Standard</t>
  </si>
  <si>
    <t>Efficient</t>
  </si>
  <si>
    <t>Impact (%)</t>
  </si>
  <si>
    <t>Standard (J)</t>
  </si>
  <si>
    <t>Efficient (J)</t>
  </si>
  <si>
    <t>Optimization level O0 (J)</t>
  </si>
  <si>
    <t>Optimization level O3 (J)</t>
  </si>
  <si>
    <t>Techniques</t>
  </si>
  <si>
    <t>Impact</t>
  </si>
  <si>
    <t>T4</t>
  </si>
  <si>
    <t>T5</t>
  </si>
  <si>
    <t>T7</t>
  </si>
  <si>
    <t>T9</t>
  </si>
  <si>
    <t>T8</t>
  </si>
  <si>
    <t>&lt;= -75</t>
  </si>
  <si>
    <t>&gt; -75 &amp; &lt;= -25</t>
  </si>
  <si>
    <t>&gt; -3 &amp; &lt; 3</t>
  </si>
  <si>
    <t xml:space="preserve">&gt;= 3 &amp; &lt; 25 </t>
  </si>
  <si>
    <t>&gt;= 25 &amp; &lt; 75</t>
  </si>
  <si>
    <t>&gt;= 75</t>
  </si>
  <si>
    <t>&gt; -25 &amp; &lt;= -3</t>
  </si>
  <si>
    <t>Interpreter (J)</t>
  </si>
  <si>
    <t>Nuitka (J)</t>
  </si>
  <si>
    <t>Interpreter</t>
  </si>
  <si>
    <t>No notable difference</t>
  </si>
  <si>
    <t>C Impact of techniques on energy</t>
  </si>
  <si>
    <t>C Impact of techniques on energy O0</t>
  </si>
  <si>
    <t>C Impact of techniques on energy O3</t>
  </si>
  <si>
    <t>C Impact of techniques on energy Interpreter</t>
  </si>
  <si>
    <t>C Impact of techniques on energy Nuitka</t>
  </si>
  <si>
    <t>Python Impact of techniques on energy</t>
  </si>
  <si>
    <t>(4) loops</t>
  </si>
  <si>
    <t>(1) data/memory structure</t>
  </si>
  <si>
    <t>(2) algorithm implementation</t>
  </si>
  <si>
    <t>(4) arithmetic/logic operations</t>
  </si>
  <si>
    <t>Cascaded function calls</t>
  </si>
  <si>
    <t>Row-major accessing</t>
  </si>
  <si>
    <t>Common subexpression elimination</t>
  </si>
  <si>
    <t>Mapping structures</t>
  </si>
  <si>
    <t>Dead code elimination</t>
  </si>
  <si>
    <t>Exception handling</t>
  </si>
  <si>
    <t>Global variables within loops</t>
  </si>
  <si>
    <t>Function inlining</t>
  </si>
  <si>
    <t>Division by a power-of-two denominator</t>
  </si>
  <si>
    <t>Multiplication by a power-of-two factor</t>
  </si>
  <si>
    <t>Loop countdown</t>
  </si>
  <si>
    <t>Loop unrolling</t>
  </si>
  <si>
    <t>Linear search</t>
  </si>
  <si>
    <t>Invariant if statements within loops</t>
  </si>
  <si>
    <t>Loop fission</t>
  </si>
  <si>
    <t>Range check</t>
  </si>
  <si>
    <t>Tail function calls</t>
  </si>
  <si>
    <t>Look-up table</t>
  </si>
  <si>
    <t>Loop exit using break</t>
  </si>
  <si>
    <t>Loop jamming</t>
  </si>
  <si>
    <t>Lazy evaluation</t>
  </si>
  <si>
    <t>Wasted iterations</t>
  </si>
  <si>
    <t>Coarsening recursion</t>
  </si>
  <si>
    <t>Nested switches</t>
  </si>
  <si>
    <t>Boolean return</t>
  </si>
  <si>
    <t>Bit fields</t>
  </si>
  <si>
    <t>Bit sets</t>
  </si>
  <si>
    <t>Constructor initialization lists</t>
  </si>
  <si>
    <t>Constants inside loops</t>
  </si>
  <si>
    <t>Initialization versus assignment</t>
  </si>
  <si>
    <t>Integer versus character</t>
  </si>
  <si>
    <t>Passing structures by reference</t>
  </si>
  <si>
    <t>Pointer aliasing</t>
  </si>
  <si>
    <t>Chains of pointers</t>
  </si>
  <si>
    <t>Pre-increment versus post-increment</t>
  </si>
  <si>
    <t>Struct variables order</t>
  </si>
  <si>
    <t>Direct initialization</t>
  </si>
  <si>
    <t>Macros</t>
  </si>
  <si>
    <t>Matrix access through pointers</t>
  </si>
  <si>
    <t>Loop unswitching</t>
  </si>
  <si>
    <t>Do-while versus for</t>
  </si>
  <si>
    <t>Pointer dereference</t>
  </si>
  <si>
    <t>Register variables in loops</t>
  </si>
  <si>
    <t>CrossLinking switches</t>
  </si>
  <si>
    <t>Does not have built-in support for bit sets.</t>
  </si>
  <si>
    <t>Does not have bit fields.</t>
  </si>
  <si>
    <t>T1</t>
  </si>
  <si>
    <t>T3</t>
  </si>
  <si>
    <t>T2</t>
  </si>
  <si>
    <t>T6</t>
  </si>
  <si>
    <t>Average impact (%)</t>
  </si>
  <si>
    <t>Average impact (%) Python</t>
  </si>
  <si>
    <t>Global impact (%)</t>
  </si>
  <si>
    <t>Average impact (%) C</t>
  </si>
  <si>
    <t>Does not perform implicit conversions between characters and integers.</t>
  </si>
  <si>
    <t>large</t>
  </si>
  <si>
    <t>medium</t>
  </si>
  <si>
    <t>small</t>
  </si>
  <si>
    <t>Effect size</t>
  </si>
  <si>
    <t>small~</t>
  </si>
  <si>
    <t>Reduction</t>
  </si>
  <si>
    <t>No impact</t>
  </si>
  <si>
    <t>Increase</t>
  </si>
  <si>
    <t>Average</t>
  </si>
  <si>
    <t>Min</t>
  </si>
  <si>
    <t>Max</t>
  </si>
  <si>
    <t>Code REPS</t>
  </si>
  <si>
    <t>Extrapolate</t>
  </si>
  <si>
    <t>Consumption (without baseline) Extrapolate</t>
  </si>
  <si>
    <t>Impact of techniques</t>
  </si>
  <si>
    <t>Time (s) Extrapolate</t>
  </si>
  <si>
    <t>Impact (%)2</t>
  </si>
  <si>
    <t>Impact (%)3</t>
  </si>
  <si>
    <t>Impact (%)4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</si>
</sst>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8">
    <xf numFmtId="0" fontId="0" fillId="0" borderId="0" xfId="0"/>
    <xf numFmtId="2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9" xfId="0" applyBorder="1"/>
    <xf numFmtId="0" fontId="0" fillId="3" borderId="10" xfId="0" applyFill="1" applyBorder="1"/>
    <xf numFmtId="0" fontId="0" fillId="3" borderId="9" xfId="0" applyFill="1" applyBorder="1"/>
    <xf numFmtId="0" fontId="0" fillId="3" borderId="12" xfId="0" applyFill="1" applyBorder="1"/>
    <xf numFmtId="0" fontId="0" fillId="3" borderId="1" xfId="0" applyFill="1" applyBorder="1"/>
    <xf numFmtId="0" fontId="3" fillId="2" borderId="1" xfId="0" applyFont="1" applyFill="1" applyBorder="1"/>
    <xf numFmtId="0" fontId="4" fillId="0" borderId="8" xfId="0" applyFont="1" applyBorder="1"/>
    <xf numFmtId="0" fontId="4" fillId="0" borderId="0" xfId="0" applyFont="1"/>
    <xf numFmtId="0" fontId="4" fillId="0" borderId="4" xfId="0" applyFont="1" applyBorder="1"/>
    <xf numFmtId="0" fontId="4" fillId="0" borderId="3" xfId="0" applyFont="1" applyBorder="1"/>
    <xf numFmtId="0" fontId="3" fillId="2" borderId="1" xfId="0" applyFont="1" applyFill="1" applyBorder="1" applyAlignment="1">
      <alignment horizontal="center" vertical="center"/>
    </xf>
    <xf numFmtId="2" fontId="4" fillId="0" borderId="8" xfId="0" applyNumberFormat="1" applyFont="1" applyBorder="1"/>
    <xf numFmtId="2" fontId="4" fillId="0" borderId="0" xfId="0" applyNumberFormat="1" applyFont="1"/>
    <xf numFmtId="2" fontId="4" fillId="0" borderId="3" xfId="0" applyNumberFormat="1" applyFont="1" applyBorder="1"/>
    <xf numFmtId="2" fontId="4" fillId="0" borderId="4" xfId="0" applyNumberFormat="1" applyFont="1" applyBorder="1"/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/>
    <xf numFmtId="0" fontId="3" fillId="2" borderId="7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/>
    </xf>
    <xf numFmtId="0" fontId="3" fillId="13" borderId="7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2" fontId="4" fillId="0" borderId="7" xfId="0" applyNumberFormat="1" applyFont="1" applyBorder="1"/>
    <xf numFmtId="2" fontId="4" fillId="0" borderId="17" xfId="0" applyNumberFormat="1" applyFont="1" applyBorder="1"/>
    <xf numFmtId="2" fontId="4" fillId="0" borderId="16" xfId="0" applyNumberFormat="1" applyFont="1" applyBorder="1"/>
    <xf numFmtId="2" fontId="4" fillId="0" borderId="2" xfId="0" applyNumberFormat="1" applyFont="1" applyBorder="1"/>
    <xf numFmtId="0" fontId="3" fillId="2" borderId="1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2" fontId="0" fillId="0" borderId="16" xfId="0" applyNumberFormat="1" applyBorder="1" applyAlignment="1">
      <alignment horizontal="center" vertical="center"/>
    </xf>
    <xf numFmtId="0" fontId="0" fillId="0" borderId="13" xfId="0" applyBorder="1"/>
    <xf numFmtId="0" fontId="3" fillId="2" borderId="3" xfId="0" applyFont="1" applyFill="1" applyBorder="1" applyAlignment="1">
      <alignment horizontal="center" vertical="center"/>
    </xf>
    <xf numFmtId="2" fontId="0" fillId="0" borderId="4" xfId="0" applyNumberFormat="1" applyBorder="1"/>
    <xf numFmtId="2" fontId="0" fillId="0" borderId="6" xfId="0" applyNumberFormat="1" applyBorder="1"/>
    <xf numFmtId="2" fontId="0" fillId="0" borderId="11" xfId="0" applyNumberFormat="1" applyBorder="1"/>
    <xf numFmtId="0" fontId="0" fillId="0" borderId="7" xfId="0" applyBorder="1"/>
    <xf numFmtId="0" fontId="0" fillId="0" borderId="8" xfId="0" applyBorder="1"/>
    <xf numFmtId="0" fontId="3" fillId="2" borderId="7" xfId="0" applyFont="1" applyFill="1" applyBorder="1"/>
    <xf numFmtId="0" fontId="3" fillId="0" borderId="0" xfId="0" applyFont="1" applyAlignment="1">
      <alignment horizontal="center"/>
    </xf>
    <xf numFmtId="0" fontId="0" fillId="11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/>
    </xf>
    <xf numFmtId="0" fontId="0" fillId="11" borderId="7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1" fontId="0" fillId="0" borderId="0" xfId="0" applyNumberFormat="1"/>
    <xf numFmtId="0" fontId="3" fillId="2" borderId="1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13" borderId="7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0" fontId="0" fillId="0" borderId="0" xfId="0" applyNumberFormat="1"/>
    <xf numFmtId="0" fontId="3" fillId="2" borderId="9" xfId="0" applyFont="1" applyFill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10" fontId="0" fillId="0" borderId="4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0" fontId="0" fillId="0" borderId="16" xfId="1" applyNumberFormat="1" applyFont="1" applyBorder="1" applyAlignment="1">
      <alignment horizontal="center" vertical="center"/>
    </xf>
    <xf numFmtId="10" fontId="0" fillId="0" borderId="17" xfId="1" applyNumberFormat="1" applyFont="1" applyBorder="1" applyAlignment="1">
      <alignment horizontal="center" vertical="center"/>
    </xf>
    <xf numFmtId="10" fontId="0" fillId="0" borderId="2" xfId="1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3" fillId="2" borderId="7" xfId="0" applyNumberFormat="1" applyFont="1" applyFill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center" vertical="center"/>
    </xf>
    <xf numFmtId="1" fontId="3" fillId="2" borderId="9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84"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7C80"/>
      <color rgb="FFFF9999"/>
      <color rgb="FFFFCCCC"/>
      <color rgb="FFFFFF66"/>
      <color rgb="FFFF5050"/>
      <color rgb="FFEAB5AA"/>
      <color rgb="FFCCFFCC"/>
      <color rgb="FF99FF99"/>
      <color rgb="FF66FF66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Impact for all techniques in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-O0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 Technique results'!$A$3:$A$25</c:f>
              <c:strCache>
                <c:ptCount val="23"/>
                <c:pt idx="0">
                  <c:v>T4</c:v>
                </c:pt>
                <c:pt idx="1">
                  <c:v>T7</c:v>
                </c:pt>
                <c:pt idx="2">
                  <c:v>T8</c:v>
                </c:pt>
                <c:pt idx="3">
                  <c:v>T9</c:v>
                </c:pt>
                <c:pt idx="4">
                  <c:v>T10</c:v>
                </c:pt>
                <c:pt idx="5">
                  <c:v>T11</c:v>
                </c:pt>
                <c:pt idx="6">
                  <c:v>T12</c:v>
                </c:pt>
                <c:pt idx="7">
                  <c:v>T13</c:v>
                </c:pt>
                <c:pt idx="8">
                  <c:v>T16</c:v>
                </c:pt>
                <c:pt idx="9">
                  <c:v>T17</c:v>
                </c:pt>
                <c:pt idx="10">
                  <c:v>T19</c:v>
                </c:pt>
                <c:pt idx="11">
                  <c:v>T20</c:v>
                </c:pt>
                <c:pt idx="12">
                  <c:v>T25</c:v>
                </c:pt>
                <c:pt idx="13">
                  <c:v>T26</c:v>
                </c:pt>
                <c:pt idx="14">
                  <c:v>T28</c:v>
                </c:pt>
                <c:pt idx="15">
                  <c:v>T29</c:v>
                </c:pt>
                <c:pt idx="16">
                  <c:v>T31</c:v>
                </c:pt>
                <c:pt idx="17">
                  <c:v>T32</c:v>
                </c:pt>
                <c:pt idx="18">
                  <c:v>T33</c:v>
                </c:pt>
                <c:pt idx="19">
                  <c:v>T36</c:v>
                </c:pt>
                <c:pt idx="20">
                  <c:v>T40</c:v>
                </c:pt>
                <c:pt idx="21">
                  <c:v>T44</c:v>
                </c:pt>
                <c:pt idx="22">
                  <c:v>T49</c:v>
                </c:pt>
              </c:strCache>
            </c:strRef>
          </c:cat>
          <c:val>
            <c:numRef>
              <c:f>'C Technique results'!$D$3:$D$25</c:f>
              <c:numCache>
                <c:formatCode>0.00</c:formatCode>
                <c:ptCount val="23"/>
                <c:pt idx="0">
                  <c:v>-35.735641264311759</c:v>
                </c:pt>
                <c:pt idx="1">
                  <c:v>-57.028556965659483</c:v>
                </c:pt>
                <c:pt idx="2">
                  <c:v>18.556499864480635</c:v>
                </c:pt>
                <c:pt idx="3">
                  <c:v>-11.428571428571429</c:v>
                </c:pt>
                <c:pt idx="4">
                  <c:v>-99.694507088738789</c:v>
                </c:pt>
                <c:pt idx="5">
                  <c:v>-4.8597209035651163</c:v>
                </c:pt>
                <c:pt idx="6">
                  <c:v>-20.516243880729849</c:v>
                </c:pt>
                <c:pt idx="7">
                  <c:v>-0.51705973697976981</c:v>
                </c:pt>
                <c:pt idx="8">
                  <c:v>-9.4946401225114911</c:v>
                </c:pt>
                <c:pt idx="9">
                  <c:v>5.571785837919311</c:v>
                </c:pt>
                <c:pt idx="10">
                  <c:v>31.720601096237672</c:v>
                </c:pt>
                <c:pt idx="11">
                  <c:v>-66.732861797720261</c:v>
                </c:pt>
                <c:pt idx="12">
                  <c:v>-18.996168323608817</c:v>
                </c:pt>
                <c:pt idx="13">
                  <c:v>-0.17318276321846177</c:v>
                </c:pt>
                <c:pt idx="14">
                  <c:v>101.55554931890553</c:v>
                </c:pt>
                <c:pt idx="15">
                  <c:v>-3.0656934306569257</c:v>
                </c:pt>
                <c:pt idx="16">
                  <c:v>113.01979547040794</c:v>
                </c:pt>
                <c:pt idx="17">
                  <c:v>-16.289342904472665</c:v>
                </c:pt>
                <c:pt idx="18">
                  <c:v>3.7100178730437197</c:v>
                </c:pt>
                <c:pt idx="19">
                  <c:v>-4.3222272778972037</c:v>
                </c:pt>
                <c:pt idx="20">
                  <c:v>-13.191578894559047</c:v>
                </c:pt>
                <c:pt idx="21">
                  <c:v>-13.144329896907223</c:v>
                </c:pt>
                <c:pt idx="22">
                  <c:v>-57.888419801255864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0-4493-9A15-904B755B9B98}"/>
            </c:ext>
          </c:extLst>
        </c:ser>
        <c:ser>
          <c:idx val="1"/>
          <c:order val="1"/>
          <c:tx>
            <c:v>-O3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 Technique results'!$A$3:$A$25</c:f>
              <c:strCache>
                <c:ptCount val="23"/>
                <c:pt idx="0">
                  <c:v>T4</c:v>
                </c:pt>
                <c:pt idx="1">
                  <c:v>T7</c:v>
                </c:pt>
                <c:pt idx="2">
                  <c:v>T8</c:v>
                </c:pt>
                <c:pt idx="3">
                  <c:v>T9</c:v>
                </c:pt>
                <c:pt idx="4">
                  <c:v>T10</c:v>
                </c:pt>
                <c:pt idx="5">
                  <c:v>T11</c:v>
                </c:pt>
                <c:pt idx="6">
                  <c:v>T12</c:v>
                </c:pt>
                <c:pt idx="7">
                  <c:v>T13</c:v>
                </c:pt>
                <c:pt idx="8">
                  <c:v>T16</c:v>
                </c:pt>
                <c:pt idx="9">
                  <c:v>T17</c:v>
                </c:pt>
                <c:pt idx="10">
                  <c:v>T19</c:v>
                </c:pt>
                <c:pt idx="11">
                  <c:v>T20</c:v>
                </c:pt>
                <c:pt idx="12">
                  <c:v>T25</c:v>
                </c:pt>
                <c:pt idx="13">
                  <c:v>T26</c:v>
                </c:pt>
                <c:pt idx="14">
                  <c:v>T28</c:v>
                </c:pt>
                <c:pt idx="15">
                  <c:v>T29</c:v>
                </c:pt>
                <c:pt idx="16">
                  <c:v>T31</c:v>
                </c:pt>
                <c:pt idx="17">
                  <c:v>T32</c:v>
                </c:pt>
                <c:pt idx="18">
                  <c:v>T33</c:v>
                </c:pt>
                <c:pt idx="19">
                  <c:v>T36</c:v>
                </c:pt>
                <c:pt idx="20">
                  <c:v>T40</c:v>
                </c:pt>
                <c:pt idx="21">
                  <c:v>T44</c:v>
                </c:pt>
                <c:pt idx="22">
                  <c:v>T49</c:v>
                </c:pt>
              </c:strCache>
            </c:strRef>
          </c:cat>
          <c:val>
            <c:numRef>
              <c:f>'C Technique results'!$H$3:$H$25</c:f>
              <c:numCache>
                <c:formatCode>0.00</c:formatCode>
                <c:ptCount val="23"/>
                <c:pt idx="0">
                  <c:v>-82.036429952317789</c:v>
                </c:pt>
                <c:pt idx="1">
                  <c:v>-54.970203925427811</c:v>
                </c:pt>
                <c:pt idx="2">
                  <c:v>-79.87963244345724</c:v>
                </c:pt>
                <c:pt idx="3">
                  <c:v>-3.0946806012957415</c:v>
                </c:pt>
                <c:pt idx="4">
                  <c:v>-99.87045196856225</c:v>
                </c:pt>
                <c:pt idx="5">
                  <c:v>-27.457627118644062</c:v>
                </c:pt>
                <c:pt idx="6">
                  <c:v>7.5549813769709138</c:v>
                </c:pt>
                <c:pt idx="7">
                  <c:v>-11.11873343510306</c:v>
                </c:pt>
                <c:pt idx="8">
                  <c:v>2.7830646727519941</c:v>
                </c:pt>
                <c:pt idx="9">
                  <c:v>-13.927601674192505</c:v>
                </c:pt>
                <c:pt idx="10">
                  <c:v>8.8875500354338524</c:v>
                </c:pt>
                <c:pt idx="11">
                  <c:v>64.473710657551806</c:v>
                </c:pt>
                <c:pt idx="12">
                  <c:v>-24.717225262197896</c:v>
                </c:pt>
                <c:pt idx="13">
                  <c:v>-89.011497336289764</c:v>
                </c:pt>
                <c:pt idx="14">
                  <c:v>-6.3477501092180031</c:v>
                </c:pt>
                <c:pt idx="15">
                  <c:v>4.840191150003089</c:v>
                </c:pt>
                <c:pt idx="16">
                  <c:v>127.22653536655271</c:v>
                </c:pt>
                <c:pt idx="17">
                  <c:v>6.6764490095377607</c:v>
                </c:pt>
                <c:pt idx="18">
                  <c:v>5.9732234809474605</c:v>
                </c:pt>
                <c:pt idx="19">
                  <c:v>10.069101678183609</c:v>
                </c:pt>
                <c:pt idx="20">
                  <c:v>-80.223986155172128</c:v>
                </c:pt>
                <c:pt idx="21">
                  <c:v>15.285714285714302</c:v>
                </c:pt>
                <c:pt idx="22">
                  <c:v>462.26666354195822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A0-4493-9A15-904B755B9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758047"/>
        <c:axId val="1562759487"/>
      </c:barChart>
      <c:catAx>
        <c:axId val="1562758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50"/>
                  <a:t>Techniques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2759487"/>
        <c:crosses val="autoZero"/>
        <c:auto val="1"/>
        <c:lblAlgn val="ctr"/>
        <c:lblOffset val="100"/>
        <c:noMultiLvlLbl val="0"/>
      </c:catAx>
      <c:valAx>
        <c:axId val="156275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275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/>
              <a:t>Impact of the optimization level in C</a:t>
            </a:r>
            <a:endParaRPr lang="es-E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Standard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 Optimization results'!$A$3:$A$25</c:f>
              <c:strCache>
                <c:ptCount val="23"/>
                <c:pt idx="0">
                  <c:v>T4</c:v>
                </c:pt>
                <c:pt idx="1">
                  <c:v>T7</c:v>
                </c:pt>
                <c:pt idx="2">
                  <c:v>T8</c:v>
                </c:pt>
                <c:pt idx="3">
                  <c:v>T9</c:v>
                </c:pt>
                <c:pt idx="4">
                  <c:v>T10</c:v>
                </c:pt>
                <c:pt idx="5">
                  <c:v>T11</c:v>
                </c:pt>
                <c:pt idx="6">
                  <c:v>T12</c:v>
                </c:pt>
                <c:pt idx="7">
                  <c:v>T13</c:v>
                </c:pt>
                <c:pt idx="8">
                  <c:v>T16</c:v>
                </c:pt>
                <c:pt idx="9">
                  <c:v>T17</c:v>
                </c:pt>
                <c:pt idx="10">
                  <c:v>T19</c:v>
                </c:pt>
                <c:pt idx="11">
                  <c:v>T20</c:v>
                </c:pt>
                <c:pt idx="12">
                  <c:v>T25</c:v>
                </c:pt>
                <c:pt idx="13">
                  <c:v>T26</c:v>
                </c:pt>
                <c:pt idx="14">
                  <c:v>T28</c:v>
                </c:pt>
                <c:pt idx="15">
                  <c:v>T29</c:v>
                </c:pt>
                <c:pt idx="16">
                  <c:v>T31</c:v>
                </c:pt>
                <c:pt idx="17">
                  <c:v>T32</c:v>
                </c:pt>
                <c:pt idx="18">
                  <c:v>T33</c:v>
                </c:pt>
                <c:pt idx="19">
                  <c:v>T36</c:v>
                </c:pt>
                <c:pt idx="20">
                  <c:v>T40</c:v>
                </c:pt>
                <c:pt idx="21">
                  <c:v>T44</c:v>
                </c:pt>
                <c:pt idx="22">
                  <c:v>T49</c:v>
                </c:pt>
              </c:strCache>
            </c:strRef>
          </c:cat>
          <c:val>
            <c:numRef>
              <c:f>'C Optimization results'!$D$3:$D$25</c:f>
              <c:numCache>
                <c:formatCode>0.00</c:formatCode>
                <c:ptCount val="23"/>
                <c:pt idx="0">
                  <c:v>-46.442726843084621</c:v>
                </c:pt>
                <c:pt idx="1">
                  <c:v>-0.67369242189285594</c:v>
                </c:pt>
                <c:pt idx="2">
                  <c:v>362.99717885453975</c:v>
                </c:pt>
                <c:pt idx="3">
                  <c:v>-14.071428571428571</c:v>
                </c:pt>
                <c:pt idx="4">
                  <c:v>0.4237676324002827</c:v>
                </c:pt>
                <c:pt idx="5">
                  <c:v>-64.933135215453191</c:v>
                </c:pt>
                <c:pt idx="6">
                  <c:v>-66.24266930883968</c:v>
                </c:pt>
                <c:pt idx="7">
                  <c:v>-29.603044656257904</c:v>
                </c:pt>
                <c:pt idx="8">
                  <c:v>-57.323313212157721</c:v>
                </c:pt>
                <c:pt idx="9">
                  <c:v>-42.490663543550546</c:v>
                </c:pt>
                <c:pt idx="10">
                  <c:v>-93.149861809730254</c:v>
                </c:pt>
                <c:pt idx="11">
                  <c:v>-93.851898932488524</c:v>
                </c:pt>
                <c:pt idx="12">
                  <c:v>-78.562873639546041</c:v>
                </c:pt>
                <c:pt idx="13">
                  <c:v>-74.794153184253318</c:v>
                </c:pt>
                <c:pt idx="14">
                  <c:v>-89.559237735714873</c:v>
                </c:pt>
                <c:pt idx="15">
                  <c:v>-55.066613682471285</c:v>
                </c:pt>
                <c:pt idx="16">
                  <c:v>-22.705061151566856</c:v>
                </c:pt>
                <c:pt idx="17">
                  <c:v>-62.332915110196254</c:v>
                </c:pt>
                <c:pt idx="18">
                  <c:v>-18.591408767400587</c:v>
                </c:pt>
                <c:pt idx="19">
                  <c:v>-97.035973934200399</c:v>
                </c:pt>
                <c:pt idx="20">
                  <c:v>-57.825077819383267</c:v>
                </c:pt>
                <c:pt idx="21">
                  <c:v>-9.7938144329896968</c:v>
                </c:pt>
                <c:pt idx="22">
                  <c:v>-98.261647853955239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D-4998-BF17-279C49FA1622}"/>
            </c:ext>
          </c:extLst>
        </c:ser>
        <c:ser>
          <c:idx val="1"/>
          <c:order val="1"/>
          <c:tx>
            <c:v>Efficient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 Optimization results'!$A$3:$A$25</c:f>
              <c:strCache>
                <c:ptCount val="23"/>
                <c:pt idx="0">
                  <c:v>T4</c:v>
                </c:pt>
                <c:pt idx="1">
                  <c:v>T7</c:v>
                </c:pt>
                <c:pt idx="2">
                  <c:v>T8</c:v>
                </c:pt>
                <c:pt idx="3">
                  <c:v>T9</c:v>
                </c:pt>
                <c:pt idx="4">
                  <c:v>T10</c:v>
                </c:pt>
                <c:pt idx="5">
                  <c:v>T11</c:v>
                </c:pt>
                <c:pt idx="6">
                  <c:v>T12</c:v>
                </c:pt>
                <c:pt idx="7">
                  <c:v>T13</c:v>
                </c:pt>
                <c:pt idx="8">
                  <c:v>T16</c:v>
                </c:pt>
                <c:pt idx="9">
                  <c:v>T17</c:v>
                </c:pt>
                <c:pt idx="10">
                  <c:v>T19</c:v>
                </c:pt>
                <c:pt idx="11">
                  <c:v>T20</c:v>
                </c:pt>
                <c:pt idx="12">
                  <c:v>T25</c:v>
                </c:pt>
                <c:pt idx="13">
                  <c:v>T26</c:v>
                </c:pt>
                <c:pt idx="14">
                  <c:v>T28</c:v>
                </c:pt>
                <c:pt idx="15">
                  <c:v>T29</c:v>
                </c:pt>
                <c:pt idx="16">
                  <c:v>T31</c:v>
                </c:pt>
                <c:pt idx="17">
                  <c:v>T32</c:v>
                </c:pt>
                <c:pt idx="18">
                  <c:v>T33</c:v>
                </c:pt>
                <c:pt idx="19">
                  <c:v>T36</c:v>
                </c:pt>
                <c:pt idx="20">
                  <c:v>T40</c:v>
                </c:pt>
                <c:pt idx="21">
                  <c:v>T44</c:v>
                </c:pt>
                <c:pt idx="22">
                  <c:v>T49</c:v>
                </c:pt>
              </c:strCache>
            </c:strRef>
          </c:cat>
          <c:val>
            <c:numRef>
              <c:f>'C Optimization results'!$H$3:$H$25</c:f>
              <c:numCache>
                <c:formatCode>0.00</c:formatCode>
                <c:ptCount val="23"/>
                <c:pt idx="0">
                  <c:v>-85.029340573146911</c:v>
                </c:pt>
                <c:pt idx="1">
                  <c:v>4.0840860640425323</c:v>
                </c:pt>
                <c:pt idx="2">
                  <c:v>-21.424186553717</c:v>
                </c:pt>
                <c:pt idx="3">
                  <c:v>-5.9862102930312719</c:v>
                </c:pt>
                <c:pt idx="4">
                  <c:v>-57.414064527290023</c:v>
                </c:pt>
                <c:pt idx="5">
                  <c:v>-73.262285909396638</c:v>
                </c:pt>
                <c:pt idx="6">
                  <c:v>-54.320615291811194</c:v>
                </c:pt>
                <c:pt idx="7">
                  <c:v>-37.105090212234849</c:v>
                </c:pt>
                <c:pt idx="8">
                  <c:v>-51.533912863600285</c:v>
                </c:pt>
                <c:pt idx="9">
                  <c:v>-53.112789789007543</c:v>
                </c:pt>
                <c:pt idx="10">
                  <c:v>-94.33729607415269</c:v>
                </c:pt>
                <c:pt idx="11">
                  <c:v>-69.60360732195555</c:v>
                </c:pt>
                <c:pt idx="12">
                  <c:v>-80.076913382725635</c:v>
                </c:pt>
                <c:pt idx="13">
                  <c:v>-97.225449808552526</c:v>
                </c:pt>
                <c:pt idx="14">
                  <c:v>-95.148727584384289</c:v>
                </c:pt>
                <c:pt idx="15">
                  <c:v>-51.401882602041404</c:v>
                </c:pt>
                <c:pt idx="16">
                  <c:v>-17.550098491485567</c:v>
                </c:pt>
                <c:pt idx="17">
                  <c:v>-51.999052450398551</c:v>
                </c:pt>
                <c:pt idx="18">
                  <c:v>-16.814874696847205</c:v>
                </c:pt>
                <c:pt idx="19">
                  <c:v>-96.590141292681722</c:v>
                </c:pt>
                <c:pt idx="20">
                  <c:v>-90.392039915858604</c:v>
                </c:pt>
                <c:pt idx="21">
                  <c:v>19.732937685459959</c:v>
                </c:pt>
                <c:pt idx="22">
                  <c:v>-76.789817513265788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3D-4998-BF17-279C49FA1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5516064"/>
        <c:axId val="545519904"/>
      </c:barChart>
      <c:catAx>
        <c:axId val="545516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50"/>
                  <a:t>Techniques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5519904"/>
        <c:crosses val="autoZero"/>
        <c:auto val="1"/>
        <c:lblAlgn val="ctr"/>
        <c:lblOffset val="100"/>
        <c:noMultiLvlLbl val="0"/>
      </c:catAx>
      <c:valAx>
        <c:axId val="54551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551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Impact for all techniques in Python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Interpreter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'Python Technique results'!$A$3:$A$25</c:f>
              <c:strCache>
                <c:ptCount val="23"/>
                <c:pt idx="0">
                  <c:v>T4</c:v>
                </c:pt>
                <c:pt idx="1">
                  <c:v>T7</c:v>
                </c:pt>
                <c:pt idx="2">
                  <c:v>T8</c:v>
                </c:pt>
                <c:pt idx="3">
                  <c:v>T9</c:v>
                </c:pt>
                <c:pt idx="4">
                  <c:v>T10</c:v>
                </c:pt>
                <c:pt idx="5">
                  <c:v>T11</c:v>
                </c:pt>
                <c:pt idx="6">
                  <c:v>T12</c:v>
                </c:pt>
                <c:pt idx="7">
                  <c:v>T13</c:v>
                </c:pt>
                <c:pt idx="8">
                  <c:v>T16</c:v>
                </c:pt>
                <c:pt idx="9">
                  <c:v>T17</c:v>
                </c:pt>
                <c:pt idx="10">
                  <c:v>T19</c:v>
                </c:pt>
                <c:pt idx="11">
                  <c:v>T20</c:v>
                </c:pt>
                <c:pt idx="12">
                  <c:v>T25</c:v>
                </c:pt>
                <c:pt idx="13">
                  <c:v>T26</c:v>
                </c:pt>
                <c:pt idx="14">
                  <c:v>T28</c:v>
                </c:pt>
                <c:pt idx="15">
                  <c:v>T29</c:v>
                </c:pt>
                <c:pt idx="16">
                  <c:v>T31</c:v>
                </c:pt>
                <c:pt idx="17">
                  <c:v>T32</c:v>
                </c:pt>
                <c:pt idx="18">
                  <c:v>T33</c:v>
                </c:pt>
                <c:pt idx="19">
                  <c:v>T36</c:v>
                </c:pt>
                <c:pt idx="20">
                  <c:v>T40</c:v>
                </c:pt>
                <c:pt idx="21">
                  <c:v>T44</c:v>
                </c:pt>
                <c:pt idx="22">
                  <c:v>T49</c:v>
                </c:pt>
              </c:strCache>
            </c:strRef>
          </c:cat>
          <c:val>
            <c:numRef>
              <c:f>'Python Technique results'!$D$3:$D$25</c:f>
              <c:numCache>
                <c:formatCode>0.00</c:formatCode>
                <c:ptCount val="23"/>
                <c:pt idx="0">
                  <c:v>-50.24161180981519</c:v>
                </c:pt>
                <c:pt idx="1">
                  <c:v>-32.058374207897131</c:v>
                </c:pt>
                <c:pt idx="2">
                  <c:v>-70.722544288257268</c:v>
                </c:pt>
                <c:pt idx="3">
                  <c:v>-23.922621226838395</c:v>
                </c:pt>
                <c:pt idx="4">
                  <c:v>-54.49280185928216</c:v>
                </c:pt>
                <c:pt idx="5">
                  <c:v>-32.034756241091763</c:v>
                </c:pt>
                <c:pt idx="6">
                  <c:v>-19.626640549694539</c:v>
                </c:pt>
                <c:pt idx="7">
                  <c:v>-6.610988140650881</c:v>
                </c:pt>
                <c:pt idx="8">
                  <c:v>-12.145963043574346</c:v>
                </c:pt>
                <c:pt idx="9">
                  <c:v>6.2854586476573342</c:v>
                </c:pt>
                <c:pt idx="10">
                  <c:v>-0.97156495687985234</c:v>
                </c:pt>
                <c:pt idx="11">
                  <c:v>-11.092838498995677</c:v>
                </c:pt>
                <c:pt idx="12">
                  <c:v>-9.8614657231931773</c:v>
                </c:pt>
                <c:pt idx="13">
                  <c:v>-28.197223834837811</c:v>
                </c:pt>
                <c:pt idx="14">
                  <c:v>22.620354517071195</c:v>
                </c:pt>
                <c:pt idx="15">
                  <c:v>1.1944406736172946</c:v>
                </c:pt>
                <c:pt idx="16">
                  <c:v>108.14735884715225</c:v>
                </c:pt>
                <c:pt idx="17">
                  <c:v>-10.879512284459478</c:v>
                </c:pt>
                <c:pt idx="18">
                  <c:v>-1.6832471500146422</c:v>
                </c:pt>
                <c:pt idx="19">
                  <c:v>-15.348880172918033</c:v>
                </c:pt>
                <c:pt idx="20">
                  <c:v>-35.275564127352382</c:v>
                </c:pt>
                <c:pt idx="21">
                  <c:v>4.1901554349277861</c:v>
                </c:pt>
                <c:pt idx="22">
                  <c:v>-37.595377957033612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6-4016-A3EA-F819D37681B6}"/>
            </c:ext>
          </c:extLst>
        </c:ser>
        <c:ser>
          <c:idx val="1"/>
          <c:order val="1"/>
          <c:tx>
            <c:v>Nuitka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'Python Technique results'!$A$3:$A$25</c:f>
              <c:strCache>
                <c:ptCount val="23"/>
                <c:pt idx="0">
                  <c:v>T4</c:v>
                </c:pt>
                <c:pt idx="1">
                  <c:v>T7</c:v>
                </c:pt>
                <c:pt idx="2">
                  <c:v>T8</c:v>
                </c:pt>
                <c:pt idx="3">
                  <c:v>T9</c:v>
                </c:pt>
                <c:pt idx="4">
                  <c:v>T10</c:v>
                </c:pt>
                <c:pt idx="5">
                  <c:v>T11</c:v>
                </c:pt>
                <c:pt idx="6">
                  <c:v>T12</c:v>
                </c:pt>
                <c:pt idx="7">
                  <c:v>T13</c:v>
                </c:pt>
                <c:pt idx="8">
                  <c:v>T16</c:v>
                </c:pt>
                <c:pt idx="9">
                  <c:v>T17</c:v>
                </c:pt>
                <c:pt idx="10">
                  <c:v>T19</c:v>
                </c:pt>
                <c:pt idx="11">
                  <c:v>T20</c:v>
                </c:pt>
                <c:pt idx="12">
                  <c:v>T25</c:v>
                </c:pt>
                <c:pt idx="13">
                  <c:v>T26</c:v>
                </c:pt>
                <c:pt idx="14">
                  <c:v>T28</c:v>
                </c:pt>
                <c:pt idx="15">
                  <c:v>T29</c:v>
                </c:pt>
                <c:pt idx="16">
                  <c:v>T31</c:v>
                </c:pt>
                <c:pt idx="17">
                  <c:v>T32</c:v>
                </c:pt>
                <c:pt idx="18">
                  <c:v>T33</c:v>
                </c:pt>
                <c:pt idx="19">
                  <c:v>T36</c:v>
                </c:pt>
                <c:pt idx="20">
                  <c:v>T40</c:v>
                </c:pt>
                <c:pt idx="21">
                  <c:v>T44</c:v>
                </c:pt>
                <c:pt idx="22">
                  <c:v>T49</c:v>
                </c:pt>
              </c:strCache>
            </c:strRef>
          </c:cat>
          <c:val>
            <c:numRef>
              <c:f>'Python Technique results'!$H$3:$H$25</c:f>
              <c:numCache>
                <c:formatCode>0.00</c:formatCode>
                <c:ptCount val="23"/>
                <c:pt idx="0">
                  <c:v>-67.469295969418781</c:v>
                </c:pt>
                <c:pt idx="1">
                  <c:v>-42.716816495433783</c:v>
                </c:pt>
                <c:pt idx="2">
                  <c:v>-53.541969861803352</c:v>
                </c:pt>
                <c:pt idx="3">
                  <c:v>-19.141279947416219</c:v>
                </c:pt>
                <c:pt idx="4">
                  <c:v>-68.83179085128441</c:v>
                </c:pt>
                <c:pt idx="5">
                  <c:v>7.123422640562195</c:v>
                </c:pt>
                <c:pt idx="6">
                  <c:v>-14.237654604109634</c:v>
                </c:pt>
                <c:pt idx="7">
                  <c:v>0.36899221720893649</c:v>
                </c:pt>
                <c:pt idx="8">
                  <c:v>-5.4339367828868381</c:v>
                </c:pt>
                <c:pt idx="9">
                  <c:v>22.266984704827092</c:v>
                </c:pt>
                <c:pt idx="10">
                  <c:v>-3.2557547171805044</c:v>
                </c:pt>
                <c:pt idx="11">
                  <c:v>14.034738167735602</c:v>
                </c:pt>
                <c:pt idx="12">
                  <c:v>-13.176760253988796</c:v>
                </c:pt>
                <c:pt idx="13">
                  <c:v>-16.400320164735195</c:v>
                </c:pt>
                <c:pt idx="14">
                  <c:v>17.087463273597724</c:v>
                </c:pt>
                <c:pt idx="15">
                  <c:v>24.636392387444477</c:v>
                </c:pt>
                <c:pt idx="16">
                  <c:v>6.313651268088452</c:v>
                </c:pt>
                <c:pt idx="17">
                  <c:v>25.506813027786102</c:v>
                </c:pt>
                <c:pt idx="18">
                  <c:v>-3.664432255558562</c:v>
                </c:pt>
                <c:pt idx="19">
                  <c:v>-2.137677012221058</c:v>
                </c:pt>
                <c:pt idx="20">
                  <c:v>-1.550478246102041</c:v>
                </c:pt>
                <c:pt idx="21">
                  <c:v>-2.1073997666340034</c:v>
                </c:pt>
                <c:pt idx="22">
                  <c:v>-32.768318288017461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C6-4016-A3EA-F819D3768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6005407"/>
        <c:axId val="1566003967"/>
      </c:barChart>
      <c:catAx>
        <c:axId val="1566005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50"/>
                  <a:t>Techniques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3967"/>
        <c:crosses val="autoZero"/>
        <c:auto val="1"/>
        <c:lblAlgn val="ctr"/>
        <c:lblOffset val="100"/>
        <c:noMultiLvlLbl val="0"/>
      </c:catAx>
      <c:valAx>
        <c:axId val="156600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100"/>
                  <a:t>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6600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Impact of CPython</a:t>
            </a:r>
            <a:r>
              <a:rPr lang="es-ES" baseline="0"/>
              <a:t> </a:t>
            </a:r>
            <a:r>
              <a:rPr lang="es-ES"/>
              <a:t>Interpreter and Nuitka in Python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Standard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'Python Optimization results'!$A$3:$A$25</c:f>
              <c:strCache>
                <c:ptCount val="23"/>
                <c:pt idx="0">
                  <c:v>T4</c:v>
                </c:pt>
                <c:pt idx="1">
                  <c:v>T7</c:v>
                </c:pt>
                <c:pt idx="2">
                  <c:v>T8</c:v>
                </c:pt>
                <c:pt idx="3">
                  <c:v>T9</c:v>
                </c:pt>
                <c:pt idx="4">
                  <c:v>T10</c:v>
                </c:pt>
                <c:pt idx="5">
                  <c:v>T11</c:v>
                </c:pt>
                <c:pt idx="6">
                  <c:v>T12</c:v>
                </c:pt>
                <c:pt idx="7">
                  <c:v>T13</c:v>
                </c:pt>
                <c:pt idx="8">
                  <c:v>T16</c:v>
                </c:pt>
                <c:pt idx="9">
                  <c:v>T17</c:v>
                </c:pt>
                <c:pt idx="10">
                  <c:v>T19</c:v>
                </c:pt>
                <c:pt idx="11">
                  <c:v>T20</c:v>
                </c:pt>
                <c:pt idx="12">
                  <c:v>T25</c:v>
                </c:pt>
                <c:pt idx="13">
                  <c:v>T26</c:v>
                </c:pt>
                <c:pt idx="14">
                  <c:v>T28</c:v>
                </c:pt>
                <c:pt idx="15">
                  <c:v>T29</c:v>
                </c:pt>
                <c:pt idx="16">
                  <c:v>T31</c:v>
                </c:pt>
                <c:pt idx="17">
                  <c:v>T32</c:v>
                </c:pt>
                <c:pt idx="18">
                  <c:v>T33</c:v>
                </c:pt>
                <c:pt idx="19">
                  <c:v>T36</c:v>
                </c:pt>
                <c:pt idx="20">
                  <c:v>T40</c:v>
                </c:pt>
                <c:pt idx="21">
                  <c:v>T44</c:v>
                </c:pt>
                <c:pt idx="22">
                  <c:v>T49</c:v>
                </c:pt>
              </c:strCache>
            </c:strRef>
          </c:cat>
          <c:val>
            <c:numRef>
              <c:f>'Python Optimization results'!$D$3:$D$25</c:f>
              <c:numCache>
                <c:formatCode>0.00</c:formatCode>
                <c:ptCount val="23"/>
                <c:pt idx="0">
                  <c:v>41.523419080098186</c:v>
                </c:pt>
                <c:pt idx="1">
                  <c:v>-19.010037592159783</c:v>
                </c:pt>
                <c:pt idx="2">
                  <c:v>-26.995181698656118</c:v>
                </c:pt>
                <c:pt idx="3">
                  <c:v>-57.521591241601087</c:v>
                </c:pt>
                <c:pt idx="4">
                  <c:v>-46.693900279165987</c:v>
                </c:pt>
                <c:pt idx="5">
                  <c:v>-36.950293437975112</c:v>
                </c:pt>
                <c:pt idx="6">
                  <c:v>-48.400382845071647</c:v>
                </c:pt>
                <c:pt idx="7">
                  <c:v>-8.5834500088793533</c:v>
                </c:pt>
                <c:pt idx="8">
                  <c:v>-50.366904508260582</c:v>
                </c:pt>
                <c:pt idx="9">
                  <c:v>-47.424652245812446</c:v>
                </c:pt>
                <c:pt idx="10">
                  <c:v>-1.0539981681236583</c:v>
                </c:pt>
                <c:pt idx="11">
                  <c:v>-10.27035080925992</c:v>
                </c:pt>
                <c:pt idx="12">
                  <c:v>-6.0882240278874944</c:v>
                </c:pt>
                <c:pt idx="13">
                  <c:v>-9.3923408458292332</c:v>
                </c:pt>
                <c:pt idx="14">
                  <c:v>-5.0159536832621985</c:v>
                </c:pt>
                <c:pt idx="15">
                  <c:v>-48.141760889267715</c:v>
                </c:pt>
                <c:pt idx="16">
                  <c:v>168.80379654065371</c:v>
                </c:pt>
                <c:pt idx="17">
                  <c:v>-59.699148234932274</c:v>
                </c:pt>
                <c:pt idx="18">
                  <c:v>-46.232656438484334</c:v>
                </c:pt>
                <c:pt idx="19">
                  <c:v>-34.676250111018376</c:v>
                </c:pt>
                <c:pt idx="20">
                  <c:v>-24.889105926862872</c:v>
                </c:pt>
                <c:pt idx="21">
                  <c:v>-62.364967229852134</c:v>
                </c:pt>
                <c:pt idx="22">
                  <c:v>-11.404788991860833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B-4D66-8959-DCF6E75FB3AA}"/>
            </c:ext>
          </c:extLst>
        </c:ser>
        <c:ser>
          <c:idx val="1"/>
          <c:order val="1"/>
          <c:tx>
            <c:v>Efficient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'Python Optimization results'!$A$3:$A$25</c:f>
              <c:strCache>
                <c:ptCount val="23"/>
                <c:pt idx="0">
                  <c:v>T4</c:v>
                </c:pt>
                <c:pt idx="1">
                  <c:v>T7</c:v>
                </c:pt>
                <c:pt idx="2">
                  <c:v>T8</c:v>
                </c:pt>
                <c:pt idx="3">
                  <c:v>T9</c:v>
                </c:pt>
                <c:pt idx="4">
                  <c:v>T10</c:v>
                </c:pt>
                <c:pt idx="5">
                  <c:v>T11</c:v>
                </c:pt>
                <c:pt idx="6">
                  <c:v>T12</c:v>
                </c:pt>
                <c:pt idx="7">
                  <c:v>T13</c:v>
                </c:pt>
                <c:pt idx="8">
                  <c:v>T16</c:v>
                </c:pt>
                <c:pt idx="9">
                  <c:v>T17</c:v>
                </c:pt>
                <c:pt idx="10">
                  <c:v>T19</c:v>
                </c:pt>
                <c:pt idx="11">
                  <c:v>T20</c:v>
                </c:pt>
                <c:pt idx="12">
                  <c:v>T25</c:v>
                </c:pt>
                <c:pt idx="13">
                  <c:v>T26</c:v>
                </c:pt>
                <c:pt idx="14">
                  <c:v>T28</c:v>
                </c:pt>
                <c:pt idx="15">
                  <c:v>T29</c:v>
                </c:pt>
                <c:pt idx="16">
                  <c:v>T31</c:v>
                </c:pt>
                <c:pt idx="17">
                  <c:v>T32</c:v>
                </c:pt>
                <c:pt idx="18">
                  <c:v>T33</c:v>
                </c:pt>
                <c:pt idx="19">
                  <c:v>T36</c:v>
                </c:pt>
                <c:pt idx="20">
                  <c:v>T40</c:v>
                </c:pt>
                <c:pt idx="21">
                  <c:v>T44</c:v>
                </c:pt>
                <c:pt idx="22">
                  <c:v>T49</c:v>
                </c:pt>
              </c:strCache>
            </c:strRef>
          </c:cat>
          <c:val>
            <c:numRef>
              <c:f>'Python Optimization results'!$H$3:$H$25</c:f>
              <c:numCache>
                <c:formatCode>0.00</c:formatCode>
                <c:ptCount val="23"/>
                <c:pt idx="0">
                  <c:v>-10.825986947136297</c:v>
                </c:pt>
                <c:pt idx="1">
                  <c:v>-24.671169351064695</c:v>
                </c:pt>
                <c:pt idx="2">
                  <c:v>13.822541268270061</c:v>
                </c:pt>
                <c:pt idx="3">
                  <c:v>-56.001742853223014</c:v>
                </c:pt>
                <c:pt idx="4">
                  <c:v>-64.379228809885262</c:v>
                </c:pt>
                <c:pt idx="5">
                  <c:v>-13.519479432753023</c:v>
                </c:pt>
                <c:pt idx="6">
                  <c:v>-47.294354356047492</c:v>
                </c:pt>
                <c:pt idx="7">
                  <c:v>-9.0322542344660126E-2</c:v>
                </c:pt>
                <c:pt idx="8">
                  <c:v>-46.227511849411535</c:v>
                </c:pt>
                <c:pt idx="9">
                  <c:v>-40.990898744097578</c:v>
                </c:pt>
                <c:pt idx="10">
                  <c:v>-5.2576378725141124</c:v>
                </c:pt>
                <c:pt idx="11">
                  <c:v>12.990642332633826</c:v>
                </c:pt>
                <c:pt idx="12">
                  <c:v>-9.7002043284298107</c:v>
                </c:pt>
                <c:pt idx="13">
                  <c:v>-1.5445151009944103</c:v>
                </c:pt>
                <c:pt idx="14">
                  <c:v>-8.9405551395468237</c:v>
                </c:pt>
                <c:pt idx="15">
                  <c:v>-35.155646903850652</c:v>
                </c:pt>
                <c:pt idx="16">
                  <c:v>35.923932695221175</c:v>
                </c:pt>
                <c:pt idx="17">
                  <c:v>-41.099729912770734</c:v>
                </c:pt>
                <c:pt idx="18">
                  <c:v>-45.371895545702095</c:v>
                </c:pt>
                <c:pt idx="19">
                  <c:v>-24.445726042854549</c:v>
                </c:pt>
                <c:pt idx="20">
                  <c:v>11.269037492574235</c:v>
                </c:pt>
                <c:pt idx="21">
                  <c:v>-62.760733370903019</c:v>
                </c:pt>
                <c:pt idx="22">
                  <c:v>-1.0299326139582015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AB-4D66-8959-DCF6E75FB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578575"/>
        <c:axId val="1673579055"/>
      </c:barChart>
      <c:catAx>
        <c:axId val="1673578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050"/>
                  <a:t>Techniques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3579055"/>
        <c:crosses val="autoZero"/>
        <c:auto val="1"/>
        <c:lblAlgn val="ctr"/>
        <c:lblOffset val="100"/>
        <c:noMultiLvlLbl val="0"/>
      </c:catAx>
      <c:valAx>
        <c:axId val="167357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Impact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7357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300"/>
              <a:t>Impact of techniques on C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3D-43CB-8BCD-91050DE7E3C9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3D-43CB-8BCD-91050DE7E3C9}"/>
              </c:ext>
            </c:extLst>
          </c:dPt>
          <c:dPt>
            <c:idx val="2"/>
            <c:bubble3D val="0"/>
            <c:spPr>
              <a:solidFill>
                <a:srgbClr val="FF7C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93D-43CB-8BCD-91050DE7E3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Stats!$A$3:$A$5</c:f>
              <c:strCache>
                <c:ptCount val="3"/>
                <c:pt idx="0">
                  <c:v>Reduces</c:v>
                </c:pt>
                <c:pt idx="1">
                  <c:v>No notable difference</c:v>
                </c:pt>
                <c:pt idx="2">
                  <c:v>Increases</c:v>
                </c:pt>
              </c:strCache>
            </c:strRef>
          </c:cat>
          <c:val>
            <c:numRef>
              <c:f>Stats!$B$3:$B$5</c:f>
              <c:numCache>
                <c:formatCode>General</c:formatCode>
                <c:ptCount val="3"/>
                <c:pt idx="0">
                  <c:v>27</c:v>
                </c:pt>
                <c:pt idx="1">
                  <c:v>3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3D-43CB-8BCD-91050DE7E3C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300"/>
              <a:t>Impact of techniques on Python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E1-4728-B19C-26E80583D20D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E1-4728-B19C-26E80583D20D}"/>
              </c:ext>
            </c:extLst>
          </c:dPt>
          <c:dPt>
            <c:idx val="2"/>
            <c:bubble3D val="0"/>
            <c:spPr>
              <a:solidFill>
                <a:srgbClr val="FF7C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E1-4728-B19C-26E80583D2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Stats!$A$3:$A$5</c:f>
              <c:strCache>
                <c:ptCount val="3"/>
                <c:pt idx="0">
                  <c:v>Reduces</c:v>
                </c:pt>
                <c:pt idx="1">
                  <c:v>No notable difference</c:v>
                </c:pt>
                <c:pt idx="2">
                  <c:v>Increases</c:v>
                </c:pt>
              </c:strCache>
            </c:strRef>
          </c:cat>
          <c:val>
            <c:numRef>
              <c:f>Stats!$B$24:$B$26</c:f>
              <c:numCache>
                <c:formatCode>General</c:formatCode>
                <c:ptCount val="3"/>
                <c:pt idx="0">
                  <c:v>28</c:v>
                </c:pt>
                <c:pt idx="1">
                  <c:v>7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E1-4728-B19C-26E80583D20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3549</xdr:colOff>
      <xdr:row>12</xdr:row>
      <xdr:rowOff>7677</xdr:rowOff>
    </xdr:from>
    <xdr:to>
      <xdr:col>18</xdr:col>
      <xdr:colOff>1028700</xdr:colOff>
      <xdr:row>38</xdr:row>
      <xdr:rowOff>7677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632590-74B6-59CC-608D-B45B06A35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609599</xdr:colOff>
      <xdr:row>12</xdr:row>
      <xdr:rowOff>4762</xdr:rowOff>
    </xdr:from>
    <xdr:to>
      <xdr:col>17</xdr:col>
      <xdr:colOff>581024</xdr:colOff>
      <xdr:row>30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1AE359-B2DB-9229-6AB7-09EDED5EA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4761</xdr:colOff>
      <xdr:row>13</xdr:row>
      <xdr:rowOff>4761</xdr:rowOff>
    </xdr:from>
    <xdr:to>
      <xdr:col>18</xdr:col>
      <xdr:colOff>704850</xdr:colOff>
      <xdr:row>32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50C7D3-F970-F91B-2D41-58664C27F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13</xdr:row>
      <xdr:rowOff>4761</xdr:rowOff>
    </xdr:from>
    <xdr:to>
      <xdr:col>18</xdr:col>
      <xdr:colOff>771525</xdr:colOff>
      <xdr:row>32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C0E120-471D-6DD8-9D03-0C48103B3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755400</xdr:colOff>
      <xdr:row>2</xdr:row>
      <xdr:rowOff>9525</xdr:rowOff>
    </xdr:from>
    <xdr:to>
      <xdr:col>9</xdr:col>
      <xdr:colOff>281378</xdr:colOff>
      <xdr:row>18</xdr:row>
      <xdr:rowOff>188095</xdr:rowOff>
    </xdr:to>
    <xdr:graphicFrame macro="">
      <xdr:nvGraphicFramePr>
        <xdr:cNvPr id="4" name="Gráfico 5">
          <a:extLst>
            <a:ext uri="{FF2B5EF4-FFF2-40B4-BE49-F238E27FC236}">
              <a16:creationId xmlns:a16="http://schemas.microsoft.com/office/drawing/2014/main" id="{BD7C0541-8398-473C-BECC-A288FADBB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595750</xdr:colOff>
      <xdr:row>2</xdr:row>
      <xdr:rowOff>9525</xdr:rowOff>
    </xdr:from>
    <xdr:to>
      <xdr:col>13</xdr:col>
      <xdr:colOff>254250</xdr:colOff>
      <xdr:row>18</xdr:row>
      <xdr:rowOff>188095</xdr:rowOff>
    </xdr:to>
    <xdr:graphicFrame macro="">
      <xdr:nvGraphicFramePr>
        <xdr:cNvPr id="8" name="Gráfico 5">
          <a:extLst>
            <a:ext uri="{FF2B5EF4-FFF2-40B4-BE49-F238E27FC236}">
              <a16:creationId xmlns:a16="http://schemas.microsoft.com/office/drawing/2014/main" id="{3FF1CF16-D72B-43C1-ACE0-18E4A8CBF4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75CFB0-F4E3-4B7B-A36D-347D395BA23A}" name="Tabla1" displayName="Tabla1" ref="A32:L58" totalsRowShown="0" headerRowDxfId="83" tableBorderDxfId="82">
  <autoFilter ref="A32:L58" xr:uid="{7275CFB0-F4E3-4B7B-A36D-347D395BA23A}"/>
  <sortState xmlns:xlrd2="http://schemas.microsoft.com/office/spreadsheetml/2017/richdata2" ref="A33:L58">
    <sortCondition ref="H32:H58"/>
  </sortState>
  <tableColumns count="12">
    <tableColumn id="1" xr3:uid="{6CCAB05C-FFF2-4992-828D-A645BFD90889}" name="Technique" dataDxfId="81"/>
    <tableColumn id="2" xr3:uid="{C1A67B26-E968-4590-B95F-F7731176765D}" name="Impact (%)" dataDxfId="80"/>
    <tableColumn id="3" xr3:uid="{A43C31E8-9EE8-4C72-AC4D-8F48B9ED7584}" name="Impact (%)2" dataDxfId="79"/>
    <tableColumn id="4" xr3:uid="{F173EB06-2D9C-4F73-941F-062958E126DF}" name="Impact (%)3" dataDxfId="78"/>
    <tableColumn id="5" xr3:uid="{65FE0D8C-ED5A-4D88-B520-CEBCABEC6419}" name="Impact (%)4" dataDxfId="77"/>
    <tableColumn id="8" xr3:uid="{B828FF9B-B70B-4847-8F98-07D45668CDA3}" name="Average impact (%) C" dataDxfId="76">
      <calculatedColumnFormula>AVERAGE(B33:C33)</calculatedColumnFormula>
    </tableColumn>
    <tableColumn id="9" xr3:uid="{FCA2B812-9016-423A-A5A2-ED90B22AFCE7}" name="Average impact (%) Python" dataDxfId="75">
      <calculatedColumnFormula>AVERAGE(D33:E33)</calculatedColumnFormula>
    </tableColumn>
    <tableColumn id="11" xr3:uid="{25BE15F6-6350-4D01-A33B-FBA65465D7AB}" name="Global impact (%)" dataDxfId="74">
      <calculatedColumnFormula>AVERAGE(B33:E33)</calculatedColumnFormula>
    </tableColumn>
    <tableColumn id="12" xr3:uid="{188ACF79-41D2-48AC-9E40-58C9192B8A75}" name="(1) data/memory structure" dataDxfId="73"/>
    <tableColumn id="13" xr3:uid="{B27A9240-44A2-44A6-84B5-20FCFC2D2DFA}" name="(2) algorithm implementation" dataDxfId="72"/>
    <tableColumn id="14" xr3:uid="{B768BAE4-96A8-495E-B73D-AD3A27296CCC}" name="(4) arithmetic/logic operations" dataDxfId="71"/>
    <tableColumn id="15" xr3:uid="{2A44911A-61D1-4318-B2EE-C568842EBC74}" name="(4) loops" dataDxfId="7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0E3A9-095A-417D-A4EB-08ACCC288A73}">
  <dimension ref="A1:D50"/>
  <sheetViews>
    <sheetView zoomScale="115" zoomScaleNormal="115" workbookViewId="0">
      <selection sqref="A1:A2"/>
    </sheetView>
  </sheetViews>
  <sheetFormatPr baseColWidth="10" defaultColWidth="11.42578125" defaultRowHeight="15" x14ac:dyDescent="0.25"/>
  <cols>
    <col min="2" max="2" width="45.140625" customWidth="1"/>
    <col min="3" max="3" width="22.7109375" customWidth="1"/>
    <col min="4" max="4" width="96.7109375" customWidth="1"/>
  </cols>
  <sheetData>
    <row r="1" spans="1:4" x14ac:dyDescent="0.25">
      <c r="A1" s="102" t="s">
        <v>0</v>
      </c>
      <c r="B1" s="102" t="s">
        <v>88</v>
      </c>
      <c r="C1" s="104" t="s">
        <v>72</v>
      </c>
      <c r="D1" s="105"/>
    </row>
    <row r="2" spans="1:4" x14ac:dyDescent="0.25">
      <c r="A2" s="103"/>
      <c r="B2" s="103"/>
      <c r="C2" s="80" t="s">
        <v>70</v>
      </c>
      <c r="D2" s="81" t="s">
        <v>71</v>
      </c>
    </row>
    <row r="3" spans="1:4" x14ac:dyDescent="0.25">
      <c r="A3" s="7" t="s">
        <v>173</v>
      </c>
      <c r="B3" s="8" t="s">
        <v>152</v>
      </c>
      <c r="C3" s="25" t="s">
        <v>73</v>
      </c>
      <c r="D3" s="26" t="s">
        <v>172</v>
      </c>
    </row>
    <row r="4" spans="1:4" x14ac:dyDescent="0.25">
      <c r="A4" s="9" t="s">
        <v>175</v>
      </c>
      <c r="B4" s="10" t="s">
        <v>153</v>
      </c>
      <c r="C4" s="22" t="s">
        <v>73</v>
      </c>
      <c r="D4" s="27" t="s">
        <v>171</v>
      </c>
    </row>
    <row r="5" spans="1:4" x14ac:dyDescent="0.25">
      <c r="A5" s="9" t="s">
        <v>174</v>
      </c>
      <c r="B5" s="10" t="s">
        <v>151</v>
      </c>
      <c r="C5" s="22" t="s">
        <v>73</v>
      </c>
      <c r="D5" s="27" t="s">
        <v>87</v>
      </c>
    </row>
    <row r="6" spans="1:4" x14ac:dyDescent="0.25">
      <c r="A6" s="9" t="s">
        <v>101</v>
      </c>
      <c r="B6" s="10" t="s">
        <v>127</v>
      </c>
      <c r="C6" s="22" t="s">
        <v>73</v>
      </c>
      <c r="D6" s="23" t="s">
        <v>73</v>
      </c>
    </row>
    <row r="7" spans="1:4" x14ac:dyDescent="0.25">
      <c r="A7" s="9" t="s">
        <v>102</v>
      </c>
      <c r="B7" s="10" t="s">
        <v>128</v>
      </c>
      <c r="C7" s="22" t="s">
        <v>73</v>
      </c>
      <c r="D7" s="23" t="s">
        <v>73</v>
      </c>
    </row>
    <row r="8" spans="1:4" x14ac:dyDescent="0.25">
      <c r="A8" s="9" t="s">
        <v>176</v>
      </c>
      <c r="B8" s="10" t="s">
        <v>154</v>
      </c>
      <c r="C8" s="22" t="s">
        <v>73</v>
      </c>
      <c r="D8" s="27" t="s">
        <v>86</v>
      </c>
    </row>
    <row r="9" spans="1:4" x14ac:dyDescent="0.25">
      <c r="A9" s="9" t="s">
        <v>103</v>
      </c>
      <c r="B9" s="10" t="s">
        <v>129</v>
      </c>
      <c r="C9" s="22" t="s">
        <v>73</v>
      </c>
      <c r="D9" s="23" t="s">
        <v>73</v>
      </c>
    </row>
    <row r="10" spans="1:4" x14ac:dyDescent="0.25">
      <c r="A10" s="9" t="s">
        <v>105</v>
      </c>
      <c r="B10" s="10" t="s">
        <v>130</v>
      </c>
      <c r="C10" s="22" t="s">
        <v>73</v>
      </c>
      <c r="D10" s="23" t="s">
        <v>73</v>
      </c>
    </row>
    <row r="11" spans="1:4" x14ac:dyDescent="0.25">
      <c r="A11" s="9" t="s">
        <v>104</v>
      </c>
      <c r="B11" s="10" t="s">
        <v>131</v>
      </c>
      <c r="C11" s="22" t="s">
        <v>73</v>
      </c>
      <c r="D11" s="23" t="s">
        <v>73</v>
      </c>
    </row>
    <row r="12" spans="1:4" x14ac:dyDescent="0.25">
      <c r="A12" s="9" t="s">
        <v>1</v>
      </c>
      <c r="B12" s="10" t="s">
        <v>132</v>
      </c>
      <c r="C12" s="22" t="s">
        <v>73</v>
      </c>
      <c r="D12" s="23" t="s">
        <v>73</v>
      </c>
    </row>
    <row r="13" spans="1:4" x14ac:dyDescent="0.25">
      <c r="A13" s="9" t="s">
        <v>2</v>
      </c>
      <c r="B13" s="10" t="s">
        <v>133</v>
      </c>
      <c r="C13" s="22" t="s">
        <v>73</v>
      </c>
      <c r="D13" s="23" t="s">
        <v>73</v>
      </c>
    </row>
    <row r="14" spans="1:4" x14ac:dyDescent="0.25">
      <c r="A14" s="9" t="s">
        <v>3</v>
      </c>
      <c r="B14" s="10" t="s">
        <v>134</v>
      </c>
      <c r="C14" s="22" t="s">
        <v>73</v>
      </c>
      <c r="D14" s="23" t="s">
        <v>73</v>
      </c>
    </row>
    <row r="15" spans="1:4" x14ac:dyDescent="0.25">
      <c r="A15" s="9" t="s">
        <v>4</v>
      </c>
      <c r="B15" s="10" t="s">
        <v>133</v>
      </c>
      <c r="C15" s="22" t="s">
        <v>73</v>
      </c>
      <c r="D15" s="23" t="s">
        <v>73</v>
      </c>
    </row>
    <row r="16" spans="1:4" x14ac:dyDescent="0.25">
      <c r="A16" s="9" t="s">
        <v>5</v>
      </c>
      <c r="B16" s="10" t="s">
        <v>155</v>
      </c>
      <c r="C16" s="22" t="s">
        <v>73</v>
      </c>
      <c r="D16" s="27" t="s">
        <v>84</v>
      </c>
    </row>
    <row r="17" spans="1:4" x14ac:dyDescent="0.25">
      <c r="A17" s="9" t="s">
        <v>6</v>
      </c>
      <c r="B17" s="10" t="s">
        <v>156</v>
      </c>
      <c r="C17" s="22" t="s">
        <v>73</v>
      </c>
      <c r="D17" s="27" t="s">
        <v>85</v>
      </c>
    </row>
    <row r="18" spans="1:4" x14ac:dyDescent="0.25">
      <c r="A18" s="9" t="s">
        <v>7</v>
      </c>
      <c r="B18" s="10" t="s">
        <v>135</v>
      </c>
      <c r="C18" s="22" t="s">
        <v>73</v>
      </c>
      <c r="D18" s="23" t="s">
        <v>73</v>
      </c>
    </row>
    <row r="19" spans="1:4" x14ac:dyDescent="0.25">
      <c r="A19" s="9" t="s">
        <v>8</v>
      </c>
      <c r="B19" s="10" t="s">
        <v>136</v>
      </c>
      <c r="C19" s="22" t="s">
        <v>73</v>
      </c>
      <c r="D19" s="23" t="s">
        <v>73</v>
      </c>
    </row>
    <row r="20" spans="1:4" x14ac:dyDescent="0.25">
      <c r="A20" s="9" t="s">
        <v>9</v>
      </c>
      <c r="B20" s="10" t="s">
        <v>157</v>
      </c>
      <c r="C20" s="22" t="s">
        <v>73</v>
      </c>
      <c r="D20" s="27" t="s">
        <v>181</v>
      </c>
    </row>
    <row r="21" spans="1:4" x14ac:dyDescent="0.25">
      <c r="A21" s="9" t="s">
        <v>10</v>
      </c>
      <c r="B21" s="10" t="s">
        <v>137</v>
      </c>
      <c r="C21" s="22" t="s">
        <v>73</v>
      </c>
      <c r="D21" s="23" t="s">
        <v>73</v>
      </c>
    </row>
    <row r="22" spans="1:4" x14ac:dyDescent="0.25">
      <c r="A22" s="9" t="s">
        <v>11</v>
      </c>
      <c r="B22" s="10" t="s">
        <v>138</v>
      </c>
      <c r="C22" s="22" t="s">
        <v>73</v>
      </c>
      <c r="D22" s="23" t="s">
        <v>73</v>
      </c>
    </row>
    <row r="23" spans="1:4" x14ac:dyDescent="0.25">
      <c r="A23" s="9" t="s">
        <v>12</v>
      </c>
      <c r="B23" s="10" t="s">
        <v>158</v>
      </c>
      <c r="C23" s="22" t="s">
        <v>73</v>
      </c>
      <c r="D23" s="27" t="s">
        <v>82</v>
      </c>
    </row>
    <row r="24" spans="1:4" x14ac:dyDescent="0.25">
      <c r="A24" s="9" t="s">
        <v>13</v>
      </c>
      <c r="B24" s="10" t="s">
        <v>159</v>
      </c>
      <c r="C24" s="22" t="s">
        <v>73</v>
      </c>
      <c r="D24" s="28" t="s">
        <v>75</v>
      </c>
    </row>
    <row r="25" spans="1:4" x14ac:dyDescent="0.25">
      <c r="A25" s="9" t="s">
        <v>14</v>
      </c>
      <c r="B25" s="10" t="s">
        <v>160</v>
      </c>
      <c r="C25" s="22" t="s">
        <v>73</v>
      </c>
      <c r="D25" s="28" t="s">
        <v>75</v>
      </c>
    </row>
    <row r="26" spans="1:4" x14ac:dyDescent="0.25">
      <c r="A26" s="9" t="s">
        <v>15</v>
      </c>
      <c r="B26" s="10" t="s">
        <v>161</v>
      </c>
      <c r="C26" s="22" t="s">
        <v>73</v>
      </c>
      <c r="D26" s="27" t="s">
        <v>78</v>
      </c>
    </row>
    <row r="27" spans="1:4" x14ac:dyDescent="0.25">
      <c r="A27" s="9" t="s">
        <v>16</v>
      </c>
      <c r="B27" s="10" t="s">
        <v>139</v>
      </c>
      <c r="C27" s="22" t="s">
        <v>73</v>
      </c>
      <c r="D27" s="23" t="s">
        <v>73</v>
      </c>
    </row>
    <row r="28" spans="1:4" x14ac:dyDescent="0.25">
      <c r="A28" s="9" t="s">
        <v>17</v>
      </c>
      <c r="B28" s="10" t="s">
        <v>140</v>
      </c>
      <c r="C28" s="22" t="s">
        <v>73</v>
      </c>
      <c r="D28" s="23" t="s">
        <v>73</v>
      </c>
    </row>
    <row r="29" spans="1:4" x14ac:dyDescent="0.25">
      <c r="A29" s="9" t="s">
        <v>18</v>
      </c>
      <c r="B29" s="10" t="s">
        <v>19</v>
      </c>
      <c r="C29" s="22" t="s">
        <v>73</v>
      </c>
      <c r="D29" s="27" t="s">
        <v>81</v>
      </c>
    </row>
    <row r="30" spans="1:4" x14ac:dyDescent="0.25">
      <c r="A30" s="9" t="s">
        <v>20</v>
      </c>
      <c r="B30" s="10" t="s">
        <v>141</v>
      </c>
      <c r="C30" s="22" t="s">
        <v>73</v>
      </c>
      <c r="D30" s="23" t="s">
        <v>73</v>
      </c>
    </row>
    <row r="31" spans="1:4" x14ac:dyDescent="0.25">
      <c r="A31" s="9" t="s">
        <v>21</v>
      </c>
      <c r="B31" s="10" t="s">
        <v>142</v>
      </c>
      <c r="C31" s="22" t="s">
        <v>73</v>
      </c>
      <c r="D31" s="23" t="s">
        <v>73</v>
      </c>
    </row>
    <row r="32" spans="1:4" x14ac:dyDescent="0.25">
      <c r="A32" s="9" t="s">
        <v>22</v>
      </c>
      <c r="B32" s="10" t="s">
        <v>162</v>
      </c>
      <c r="C32" s="22" t="s">
        <v>73</v>
      </c>
      <c r="D32" s="27" t="s">
        <v>83</v>
      </c>
    </row>
    <row r="33" spans="1:4" x14ac:dyDescent="0.25">
      <c r="A33" s="9" t="s">
        <v>23</v>
      </c>
      <c r="B33" s="10" t="s">
        <v>24</v>
      </c>
      <c r="C33" s="22" t="s">
        <v>73</v>
      </c>
      <c r="D33" s="23" t="s">
        <v>73</v>
      </c>
    </row>
    <row r="34" spans="1:4" x14ac:dyDescent="0.25">
      <c r="A34" s="9" t="s">
        <v>25</v>
      </c>
      <c r="B34" s="10" t="s">
        <v>144</v>
      </c>
      <c r="C34" s="22" t="s">
        <v>73</v>
      </c>
      <c r="D34" s="23" t="s">
        <v>73</v>
      </c>
    </row>
    <row r="35" spans="1:4" x14ac:dyDescent="0.25">
      <c r="A35" s="9" t="s">
        <v>26</v>
      </c>
      <c r="B35" s="10" t="s">
        <v>143</v>
      </c>
      <c r="C35" s="22" t="s">
        <v>73</v>
      </c>
      <c r="D35" s="23" t="s">
        <v>73</v>
      </c>
    </row>
    <row r="36" spans="1:4" x14ac:dyDescent="0.25">
      <c r="A36" s="9" t="s">
        <v>27</v>
      </c>
      <c r="B36" s="10" t="s">
        <v>163</v>
      </c>
      <c r="C36" s="22" t="s">
        <v>73</v>
      </c>
      <c r="D36" s="29" t="s">
        <v>80</v>
      </c>
    </row>
    <row r="37" spans="1:4" x14ac:dyDescent="0.25">
      <c r="A37" s="9" t="s">
        <v>28</v>
      </c>
      <c r="B37" s="10" t="s">
        <v>164</v>
      </c>
      <c r="C37" s="22" t="s">
        <v>73</v>
      </c>
      <c r="D37" s="27" t="s">
        <v>79</v>
      </c>
    </row>
    <row r="38" spans="1:4" x14ac:dyDescent="0.25">
      <c r="A38" s="9" t="s">
        <v>29</v>
      </c>
      <c r="B38" s="10" t="s">
        <v>145</v>
      </c>
      <c r="C38" s="22" t="s">
        <v>73</v>
      </c>
      <c r="D38" s="23" t="s">
        <v>73</v>
      </c>
    </row>
    <row r="39" spans="1:4" x14ac:dyDescent="0.25">
      <c r="A39" s="9" t="s">
        <v>30</v>
      </c>
      <c r="B39" s="10" t="s">
        <v>165</v>
      </c>
      <c r="C39" s="22" t="s">
        <v>73</v>
      </c>
      <c r="D39" s="28" t="s">
        <v>75</v>
      </c>
    </row>
    <row r="40" spans="1:4" x14ac:dyDescent="0.25">
      <c r="A40" s="9" t="s">
        <v>31</v>
      </c>
      <c r="B40" s="10" t="s">
        <v>166</v>
      </c>
      <c r="C40" s="22" t="s">
        <v>73</v>
      </c>
      <c r="D40" s="27" t="s">
        <v>74</v>
      </c>
    </row>
    <row r="41" spans="1:4" x14ac:dyDescent="0.25">
      <c r="A41" s="9" t="s">
        <v>32</v>
      </c>
      <c r="B41" s="10" t="s">
        <v>167</v>
      </c>
      <c r="C41" s="22" t="s">
        <v>73</v>
      </c>
      <c r="D41" s="27" t="s">
        <v>76</v>
      </c>
    </row>
    <row r="42" spans="1:4" x14ac:dyDescent="0.25">
      <c r="A42" s="9" t="s">
        <v>33</v>
      </c>
      <c r="B42" s="10" t="s">
        <v>146</v>
      </c>
      <c r="C42" s="22" t="s">
        <v>73</v>
      </c>
      <c r="D42" s="23" t="s">
        <v>73</v>
      </c>
    </row>
    <row r="43" spans="1:4" x14ac:dyDescent="0.25">
      <c r="A43" s="9" t="s">
        <v>34</v>
      </c>
      <c r="B43" s="10" t="s">
        <v>168</v>
      </c>
      <c r="C43" s="22" t="s">
        <v>73</v>
      </c>
      <c r="D43" s="28" t="s">
        <v>75</v>
      </c>
    </row>
    <row r="44" spans="1:4" x14ac:dyDescent="0.25">
      <c r="A44" s="9" t="s">
        <v>35</v>
      </c>
      <c r="B44" s="10" t="s">
        <v>169</v>
      </c>
      <c r="C44" s="22" t="s">
        <v>73</v>
      </c>
      <c r="D44" s="27" t="s">
        <v>77</v>
      </c>
    </row>
    <row r="45" spans="1:4" x14ac:dyDescent="0.25">
      <c r="A45" s="9" t="s">
        <v>36</v>
      </c>
      <c r="B45" s="10" t="s">
        <v>150</v>
      </c>
      <c r="C45" s="22" t="s">
        <v>73</v>
      </c>
      <c r="D45" s="27" t="s">
        <v>74</v>
      </c>
    </row>
    <row r="46" spans="1:4" x14ac:dyDescent="0.25">
      <c r="A46" s="9" t="s">
        <v>37</v>
      </c>
      <c r="B46" s="10" t="s">
        <v>147</v>
      </c>
      <c r="C46" s="22" t="s">
        <v>73</v>
      </c>
      <c r="D46" s="23" t="s">
        <v>73</v>
      </c>
    </row>
    <row r="47" spans="1:4" x14ac:dyDescent="0.25">
      <c r="A47" s="9" t="s">
        <v>38</v>
      </c>
      <c r="B47" s="10" t="s">
        <v>170</v>
      </c>
      <c r="C47" s="22" t="s">
        <v>73</v>
      </c>
      <c r="D47" s="27" t="s">
        <v>74</v>
      </c>
    </row>
    <row r="48" spans="1:4" x14ac:dyDescent="0.25">
      <c r="A48" s="9" t="s">
        <v>39</v>
      </c>
      <c r="B48" s="10" t="s">
        <v>40</v>
      </c>
      <c r="C48" s="22" t="s">
        <v>73</v>
      </c>
      <c r="D48" s="23" t="s">
        <v>73</v>
      </c>
    </row>
    <row r="49" spans="1:4" x14ac:dyDescent="0.25">
      <c r="A49" s="9" t="s">
        <v>41</v>
      </c>
      <c r="B49" s="10" t="s">
        <v>42</v>
      </c>
      <c r="C49" s="22" t="s">
        <v>73</v>
      </c>
      <c r="D49" s="23" t="s">
        <v>73</v>
      </c>
    </row>
    <row r="50" spans="1:4" x14ac:dyDescent="0.25">
      <c r="A50" s="10" t="s">
        <v>43</v>
      </c>
      <c r="B50" s="10" t="s">
        <v>44</v>
      </c>
      <c r="C50" s="21" t="s">
        <v>73</v>
      </c>
      <c r="D50" s="24" t="s">
        <v>73</v>
      </c>
    </row>
  </sheetData>
  <mergeCells count="3">
    <mergeCell ref="B1:B2"/>
    <mergeCell ref="A1:A2"/>
    <mergeCell ref="C1:D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DEAF-4F77-4B61-B93A-6848BF9BE938}">
  <dimension ref="A1:F28"/>
  <sheetViews>
    <sheetView zoomScale="115" zoomScaleNormal="115" workbookViewId="0">
      <selection activeCell="C2" sqref="C2:F28"/>
    </sheetView>
  </sheetViews>
  <sheetFormatPr baseColWidth="10" defaultColWidth="11.42578125" defaultRowHeight="15" x14ac:dyDescent="0.25"/>
  <cols>
    <col min="2" max="2" width="49.7109375" bestFit="1" customWidth="1"/>
    <col min="3" max="3" width="25.28515625" bestFit="1" customWidth="1"/>
    <col min="4" max="4" width="27.85546875" bestFit="1" customWidth="1"/>
    <col min="5" max="5" width="28.5703125" bestFit="1" customWidth="1"/>
    <col min="6" max="6" width="22.7109375" customWidth="1"/>
  </cols>
  <sheetData>
    <row r="1" spans="1:6" x14ac:dyDescent="0.25">
      <c r="A1" s="102" t="s">
        <v>0</v>
      </c>
      <c r="B1" s="102" t="s">
        <v>88</v>
      </c>
      <c r="C1" s="104" t="s">
        <v>89</v>
      </c>
      <c r="D1" s="106"/>
      <c r="E1" s="106"/>
      <c r="F1" s="105"/>
    </row>
    <row r="2" spans="1:6" x14ac:dyDescent="0.25">
      <c r="A2" s="103"/>
      <c r="B2" s="103"/>
      <c r="C2" s="82" t="s">
        <v>124</v>
      </c>
      <c r="D2" s="83" t="s">
        <v>125</v>
      </c>
      <c r="E2" s="83" t="s">
        <v>126</v>
      </c>
      <c r="F2" s="83" t="s">
        <v>123</v>
      </c>
    </row>
    <row r="3" spans="1:6" x14ac:dyDescent="0.25">
      <c r="A3" s="9" t="s">
        <v>101</v>
      </c>
      <c r="B3" s="10" t="s">
        <v>127</v>
      </c>
      <c r="C3" s="30"/>
      <c r="D3" s="30"/>
      <c r="E3" s="30"/>
      <c r="F3" s="30" t="s">
        <v>73</v>
      </c>
    </row>
    <row r="4" spans="1:6" x14ac:dyDescent="0.25">
      <c r="A4" s="9" t="s">
        <v>102</v>
      </c>
      <c r="B4" s="10" t="s">
        <v>128</v>
      </c>
      <c r="C4" s="30"/>
      <c r="D4" s="30" t="s">
        <v>73</v>
      </c>
      <c r="E4" s="30"/>
      <c r="F4" s="30"/>
    </row>
    <row r="5" spans="1:6" x14ac:dyDescent="0.25">
      <c r="A5" s="9" t="s">
        <v>103</v>
      </c>
      <c r="B5" s="10" t="s">
        <v>129</v>
      </c>
      <c r="C5" s="30" t="s">
        <v>73</v>
      </c>
      <c r="D5" s="30" t="s">
        <v>73</v>
      </c>
      <c r="E5" s="30"/>
      <c r="F5" s="30"/>
    </row>
    <row r="6" spans="1:6" x14ac:dyDescent="0.25">
      <c r="A6" s="9" t="s">
        <v>105</v>
      </c>
      <c r="B6" s="10" t="s">
        <v>130</v>
      </c>
      <c r="C6" s="30" t="s">
        <v>73</v>
      </c>
      <c r="D6" s="30" t="s">
        <v>73</v>
      </c>
      <c r="E6" s="30"/>
      <c r="F6" s="30"/>
    </row>
    <row r="7" spans="1:6" x14ac:dyDescent="0.25">
      <c r="A7" s="9" t="s">
        <v>104</v>
      </c>
      <c r="B7" s="10" t="s">
        <v>131</v>
      </c>
      <c r="C7" s="30"/>
      <c r="D7" s="30" t="s">
        <v>73</v>
      </c>
      <c r="E7" s="30"/>
      <c r="F7" s="30"/>
    </row>
    <row r="8" spans="1:6" x14ac:dyDescent="0.25">
      <c r="A8" s="9" t="s">
        <v>1</v>
      </c>
      <c r="B8" s="10" t="s">
        <v>132</v>
      </c>
      <c r="C8" s="30"/>
      <c r="D8" s="30" t="s">
        <v>73</v>
      </c>
      <c r="E8" s="30"/>
      <c r="F8" s="30" t="s">
        <v>73</v>
      </c>
    </row>
    <row r="9" spans="1:6" x14ac:dyDescent="0.25">
      <c r="A9" s="9" t="s">
        <v>2</v>
      </c>
      <c r="B9" s="10" t="s">
        <v>133</v>
      </c>
      <c r="C9" s="30" t="s">
        <v>73</v>
      </c>
      <c r="D9" s="30"/>
      <c r="E9" s="30"/>
      <c r="F9" s="30" t="s">
        <v>73</v>
      </c>
    </row>
    <row r="10" spans="1:6" x14ac:dyDescent="0.25">
      <c r="A10" s="9" t="s">
        <v>3</v>
      </c>
      <c r="B10" s="10" t="s">
        <v>134</v>
      </c>
      <c r="C10" s="30"/>
      <c r="D10" s="30" t="s">
        <v>73</v>
      </c>
      <c r="E10" s="30"/>
      <c r="F10" s="30"/>
    </row>
    <row r="11" spans="1:6" x14ac:dyDescent="0.25">
      <c r="A11" s="9" t="s">
        <v>4</v>
      </c>
      <c r="B11" s="10" t="s">
        <v>133</v>
      </c>
      <c r="C11" s="30" t="s">
        <v>73</v>
      </c>
      <c r="D11" s="30"/>
      <c r="E11" s="30"/>
      <c r="F11" s="30" t="s">
        <v>73</v>
      </c>
    </row>
    <row r="12" spans="1:6" x14ac:dyDescent="0.25">
      <c r="A12" s="9" t="s">
        <v>7</v>
      </c>
      <c r="B12" s="10" t="s">
        <v>135</v>
      </c>
      <c r="C12" s="30"/>
      <c r="D12" s="30"/>
      <c r="E12" s="30" t="s">
        <v>73</v>
      </c>
      <c r="F12" s="30"/>
    </row>
    <row r="13" spans="1:6" x14ac:dyDescent="0.25">
      <c r="A13" s="9" t="s">
        <v>8</v>
      </c>
      <c r="B13" s="10" t="s">
        <v>136</v>
      </c>
      <c r="C13" s="30"/>
      <c r="D13" s="30"/>
      <c r="E13" s="30" t="s">
        <v>73</v>
      </c>
      <c r="F13" s="30"/>
    </row>
    <row r="14" spans="1:6" x14ac:dyDescent="0.25">
      <c r="A14" s="9" t="s">
        <v>10</v>
      </c>
      <c r="B14" s="10" t="s">
        <v>137</v>
      </c>
      <c r="C14" s="30"/>
      <c r="D14" s="30" t="s">
        <v>73</v>
      </c>
      <c r="E14" s="30"/>
      <c r="F14" s="30" t="s">
        <v>73</v>
      </c>
    </row>
    <row r="15" spans="1:6" x14ac:dyDescent="0.25">
      <c r="A15" s="9" t="s">
        <v>11</v>
      </c>
      <c r="B15" s="10" t="s">
        <v>138</v>
      </c>
      <c r="C15" s="30"/>
      <c r="D15" s="30" t="s">
        <v>73</v>
      </c>
      <c r="E15" s="30"/>
      <c r="F15" s="30" t="s">
        <v>73</v>
      </c>
    </row>
    <row r="16" spans="1:6" x14ac:dyDescent="0.25">
      <c r="A16" s="9" t="s">
        <v>16</v>
      </c>
      <c r="B16" s="10" t="s">
        <v>139</v>
      </c>
      <c r="C16" s="30"/>
      <c r="D16" s="30" t="s">
        <v>73</v>
      </c>
      <c r="E16" s="30"/>
      <c r="F16" s="30" t="s">
        <v>73</v>
      </c>
    </row>
    <row r="17" spans="1:6" x14ac:dyDescent="0.25">
      <c r="A17" s="9" t="s">
        <v>17</v>
      </c>
      <c r="B17" s="10" t="s">
        <v>140</v>
      </c>
      <c r="C17" s="30"/>
      <c r="D17" s="30" t="s">
        <v>73</v>
      </c>
      <c r="E17" s="30"/>
      <c r="F17" s="30" t="s">
        <v>73</v>
      </c>
    </row>
    <row r="18" spans="1:6" x14ac:dyDescent="0.25">
      <c r="A18" s="9" t="s">
        <v>20</v>
      </c>
      <c r="B18" s="10" t="s">
        <v>141</v>
      </c>
      <c r="C18" s="30"/>
      <c r="D18" s="30"/>
      <c r="E18" s="30"/>
      <c r="F18" s="22" t="s">
        <v>73</v>
      </c>
    </row>
    <row r="19" spans="1:6" x14ac:dyDescent="0.25">
      <c r="A19" s="9" t="s">
        <v>21</v>
      </c>
      <c r="B19" s="10" t="s">
        <v>142</v>
      </c>
      <c r="C19" s="30"/>
      <c r="D19" s="30"/>
      <c r="E19" s="30" t="s">
        <v>73</v>
      </c>
      <c r="F19" s="22"/>
    </row>
    <row r="20" spans="1:6" x14ac:dyDescent="0.25">
      <c r="A20" s="9" t="s">
        <v>23</v>
      </c>
      <c r="B20" s="10" t="s">
        <v>24</v>
      </c>
      <c r="C20" s="30"/>
      <c r="D20" s="30" t="s">
        <v>73</v>
      </c>
      <c r="E20" s="30"/>
      <c r="F20" s="22"/>
    </row>
    <row r="21" spans="1:6" x14ac:dyDescent="0.25">
      <c r="A21" s="9" t="s">
        <v>25</v>
      </c>
      <c r="B21" s="10" t="s">
        <v>144</v>
      </c>
      <c r="C21" s="30"/>
      <c r="D21" s="30" t="s">
        <v>73</v>
      </c>
      <c r="E21" s="30"/>
      <c r="F21" s="22"/>
    </row>
    <row r="22" spans="1:6" x14ac:dyDescent="0.25">
      <c r="A22" s="9" t="s">
        <v>26</v>
      </c>
      <c r="B22" s="10" t="s">
        <v>143</v>
      </c>
      <c r="C22" s="30"/>
      <c r="D22" s="30" t="s">
        <v>73</v>
      </c>
      <c r="E22" s="30"/>
      <c r="F22" s="22"/>
    </row>
    <row r="23" spans="1:6" x14ac:dyDescent="0.25">
      <c r="A23" s="9" t="s">
        <v>29</v>
      </c>
      <c r="B23" s="10" t="s">
        <v>145</v>
      </c>
      <c r="C23" s="30"/>
      <c r="D23" s="30"/>
      <c r="E23" s="30"/>
      <c r="F23" s="22" t="s">
        <v>73</v>
      </c>
    </row>
    <row r="24" spans="1:6" x14ac:dyDescent="0.25">
      <c r="A24" s="9" t="s">
        <v>33</v>
      </c>
      <c r="B24" s="10" t="s">
        <v>146</v>
      </c>
      <c r="C24" s="30"/>
      <c r="D24" s="30"/>
      <c r="E24" s="30"/>
      <c r="F24" s="22" t="s">
        <v>73</v>
      </c>
    </row>
    <row r="25" spans="1:6" x14ac:dyDescent="0.25">
      <c r="A25" s="9" t="s">
        <v>37</v>
      </c>
      <c r="B25" s="10" t="s">
        <v>147</v>
      </c>
      <c r="C25" s="30"/>
      <c r="D25" s="30"/>
      <c r="E25" s="30" t="s">
        <v>73</v>
      </c>
      <c r="F25" s="22"/>
    </row>
    <row r="26" spans="1:6" x14ac:dyDescent="0.25">
      <c r="A26" s="9" t="s">
        <v>39</v>
      </c>
      <c r="B26" s="10" t="s">
        <v>40</v>
      </c>
      <c r="C26" s="30"/>
      <c r="D26" s="30" t="s">
        <v>73</v>
      </c>
      <c r="E26" s="30"/>
      <c r="F26" s="22"/>
    </row>
    <row r="27" spans="1:6" x14ac:dyDescent="0.25">
      <c r="A27" s="9" t="s">
        <v>41</v>
      </c>
      <c r="B27" s="10" t="s">
        <v>148</v>
      </c>
      <c r="C27" s="30"/>
      <c r="D27" s="30" t="s">
        <v>73</v>
      </c>
      <c r="E27" s="30"/>
      <c r="F27" s="22"/>
    </row>
    <row r="28" spans="1:6" x14ac:dyDescent="0.25">
      <c r="A28" s="10" t="s">
        <v>43</v>
      </c>
      <c r="B28" s="10" t="s">
        <v>149</v>
      </c>
      <c r="C28" s="31"/>
      <c r="D28" s="31" t="s">
        <v>73</v>
      </c>
      <c r="E28" s="31"/>
      <c r="F28" s="21"/>
    </row>
  </sheetData>
  <mergeCells count="3">
    <mergeCell ref="A1:A2"/>
    <mergeCell ref="B1:B2"/>
    <mergeCell ref="C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2BF5D-F749-4A0D-9287-3C73AB845AC5}">
  <dimension ref="A1:Q94"/>
  <sheetViews>
    <sheetView topLeftCell="A85" zoomScale="115" zoomScaleNormal="115" workbookViewId="0">
      <selection activeCell="C95" sqref="A95:XFD102"/>
    </sheetView>
  </sheetViews>
  <sheetFormatPr baseColWidth="10" defaultColWidth="9.140625" defaultRowHeight="15" x14ac:dyDescent="0.25"/>
  <cols>
    <col min="2" max="2" width="12.5703125" bestFit="1" customWidth="1"/>
  </cols>
  <sheetData>
    <row r="1" spans="1:17" x14ac:dyDescent="0.25">
      <c r="A1" s="111" t="s">
        <v>45</v>
      </c>
      <c r="B1" s="111" t="s">
        <v>47</v>
      </c>
      <c r="C1" s="111" t="s">
        <v>46</v>
      </c>
      <c r="D1" s="111" t="s">
        <v>48</v>
      </c>
      <c r="E1" s="111" t="s">
        <v>49</v>
      </c>
      <c r="F1" s="111"/>
      <c r="G1" s="111"/>
      <c r="H1" s="112" t="s">
        <v>50</v>
      </c>
      <c r="I1" s="113"/>
      <c r="J1" s="114"/>
      <c r="K1" s="111" t="s">
        <v>51</v>
      </c>
      <c r="L1" s="111"/>
      <c r="M1" s="111"/>
      <c r="N1" s="111" t="s">
        <v>64</v>
      </c>
      <c r="O1" s="111"/>
      <c r="P1" s="111"/>
      <c r="Q1" s="111"/>
    </row>
    <row r="2" spans="1:17" x14ac:dyDescent="0.25">
      <c r="A2" s="111"/>
      <c r="B2" s="111"/>
      <c r="C2" s="111"/>
      <c r="D2" s="111"/>
      <c r="E2" s="11" t="s">
        <v>53</v>
      </c>
      <c r="F2" s="11" t="s">
        <v>54</v>
      </c>
      <c r="G2" s="11" t="s">
        <v>55</v>
      </c>
      <c r="H2" s="11" t="s">
        <v>56</v>
      </c>
      <c r="I2" s="11" t="s">
        <v>57</v>
      </c>
      <c r="J2" s="11" t="s">
        <v>58</v>
      </c>
      <c r="K2" s="11" t="s">
        <v>56</v>
      </c>
      <c r="L2" s="11" t="s">
        <v>57</v>
      </c>
      <c r="M2" s="11" t="s">
        <v>58</v>
      </c>
      <c r="N2" s="11" t="s">
        <v>48</v>
      </c>
      <c r="O2" s="11" t="s">
        <v>56</v>
      </c>
      <c r="P2" s="11" t="s">
        <v>57</v>
      </c>
      <c r="Q2" s="11" t="s">
        <v>58</v>
      </c>
    </row>
    <row r="3" spans="1:17" x14ac:dyDescent="0.25">
      <c r="A3" s="110" t="s">
        <v>101</v>
      </c>
      <c r="B3" s="110" t="s">
        <v>60</v>
      </c>
      <c r="C3" s="5" t="s">
        <v>59</v>
      </c>
      <c r="D3" s="12">
        <v>4.7110000000000003</v>
      </c>
      <c r="E3" s="13">
        <v>1.86</v>
      </c>
      <c r="F3" s="13">
        <v>22.25</v>
      </c>
      <c r="G3" s="14">
        <v>140.24</v>
      </c>
      <c r="H3" s="13">
        <v>8.7624600000000008</v>
      </c>
      <c r="I3" s="13">
        <v>104.81975000000001</v>
      </c>
      <c r="J3" s="13">
        <v>660.67064000000005</v>
      </c>
      <c r="K3" s="15">
        <v>6.7838400000000005</v>
      </c>
      <c r="L3" s="13">
        <v>102.08737000000002</v>
      </c>
      <c r="M3" s="14">
        <v>221.55833000000001</v>
      </c>
      <c r="N3" s="107">
        <f>(D4-D3)/D3</f>
        <v>-0.22224580768414351</v>
      </c>
      <c r="O3" s="108">
        <f t="shared" ref="O3:Q3" si="0">(K4-K3)/K3</f>
        <v>-0.2168447369041723</v>
      </c>
      <c r="P3" s="108">
        <f t="shared" si="0"/>
        <v>-0.32094557828260245</v>
      </c>
      <c r="Q3" s="109">
        <f t="shared" si="0"/>
        <v>-0.35735641264311757</v>
      </c>
    </row>
    <row r="4" spans="1:17" x14ac:dyDescent="0.25">
      <c r="A4" s="110"/>
      <c r="B4" s="110"/>
      <c r="C4" s="5" t="s">
        <v>62</v>
      </c>
      <c r="D4" s="12">
        <v>3.6640000000000001</v>
      </c>
      <c r="E4" s="13">
        <v>1.87</v>
      </c>
      <c r="F4" s="13">
        <v>19.5</v>
      </c>
      <c r="G4" s="14">
        <v>132.07</v>
      </c>
      <c r="H4" s="13">
        <v>6.8516800000000009</v>
      </c>
      <c r="I4" s="13">
        <v>71.448000000000008</v>
      </c>
      <c r="J4" s="13">
        <v>483.90447999999998</v>
      </c>
      <c r="K4" s="15">
        <v>5.3128000000000002</v>
      </c>
      <c r="L4" s="13">
        <v>69.322880000000012</v>
      </c>
      <c r="M4" s="14">
        <v>142.38303999999999</v>
      </c>
      <c r="N4" s="107"/>
      <c r="O4" s="108"/>
      <c r="P4" s="108"/>
      <c r="Q4" s="109"/>
    </row>
    <row r="5" spans="1:17" x14ac:dyDescent="0.25">
      <c r="A5" s="110"/>
      <c r="B5" s="110" t="s">
        <v>61</v>
      </c>
      <c r="C5" s="5" t="s">
        <v>59</v>
      </c>
      <c r="D5" s="12">
        <v>3.14</v>
      </c>
      <c r="E5" s="13">
        <v>1.87</v>
      </c>
      <c r="F5" s="13">
        <v>19.12</v>
      </c>
      <c r="G5" s="14">
        <v>131</v>
      </c>
      <c r="H5" s="13">
        <v>5.8718000000000004</v>
      </c>
      <c r="I5" s="13">
        <v>60.036800000000007</v>
      </c>
      <c r="J5" s="13">
        <v>411.34000000000003</v>
      </c>
      <c r="K5" s="15">
        <v>4.5529999999999999</v>
      </c>
      <c r="L5" s="13">
        <v>58.215600000000002</v>
      </c>
      <c r="M5" s="14">
        <v>118.6606</v>
      </c>
      <c r="N5" s="107">
        <f>(D6-D5)/D5</f>
        <v>-0.66592356687898091</v>
      </c>
      <c r="O5" s="108">
        <f t="shared" ref="O5:Q5" si="1">(K6-K5)/K5</f>
        <v>-0.64518778827146939</v>
      </c>
      <c r="P5" s="108">
        <f t="shared" si="1"/>
        <v>-0.79187795024014185</v>
      </c>
      <c r="Q5" s="109">
        <f t="shared" si="1"/>
        <v>-0.82036429952317791</v>
      </c>
    </row>
    <row r="6" spans="1:17" x14ac:dyDescent="0.25">
      <c r="A6" s="110"/>
      <c r="B6" s="110"/>
      <c r="C6" s="5" t="s">
        <v>62</v>
      </c>
      <c r="D6" s="12">
        <v>1.0489999999999999</v>
      </c>
      <c r="E6" s="13">
        <v>1.96</v>
      </c>
      <c r="F6" s="13">
        <v>12.13</v>
      </c>
      <c r="G6" s="14">
        <v>113.52</v>
      </c>
      <c r="H6" s="13">
        <v>2.0560399999999999</v>
      </c>
      <c r="I6" s="13">
        <v>12.72437</v>
      </c>
      <c r="J6" s="13">
        <v>119.08247999999999</v>
      </c>
      <c r="K6" s="15">
        <v>1.6154599999999999</v>
      </c>
      <c r="L6" s="13">
        <v>12.11595</v>
      </c>
      <c r="M6" s="14">
        <v>21.31568</v>
      </c>
      <c r="N6" s="107"/>
      <c r="O6" s="108"/>
      <c r="P6" s="108"/>
      <c r="Q6" s="109"/>
    </row>
    <row r="7" spans="1:17" x14ac:dyDescent="0.25">
      <c r="A7" s="110" t="s">
        <v>103</v>
      </c>
      <c r="B7" s="110" t="s">
        <v>60</v>
      </c>
      <c r="C7" s="5" t="s">
        <v>59</v>
      </c>
      <c r="D7" s="12">
        <v>2.0939999999999999</v>
      </c>
      <c r="E7" s="13">
        <v>1.93</v>
      </c>
      <c r="F7" s="13">
        <v>15.48</v>
      </c>
      <c r="G7" s="14">
        <v>121.16</v>
      </c>
      <c r="H7">
        <v>4.0414199999999996</v>
      </c>
      <c r="I7">
        <v>32.415120000000002</v>
      </c>
      <c r="J7">
        <v>253.70903999999999</v>
      </c>
      <c r="K7" s="15">
        <v>3.16194</v>
      </c>
      <c r="L7" s="13">
        <v>31.200599999999998</v>
      </c>
      <c r="M7" s="14">
        <v>63.531959999999998</v>
      </c>
      <c r="N7" s="107">
        <f>(D8-D7)/D7</f>
        <v>-0.50047755491881563</v>
      </c>
      <c r="O7" s="108">
        <f t="shared" ref="O7:Q7" si="2">(K8-K7)/K7</f>
        <v>-0.48393707660486912</v>
      </c>
      <c r="P7" s="108">
        <f t="shared" si="2"/>
        <v>-0.5098645538867842</v>
      </c>
      <c r="Q7" s="109">
        <f t="shared" si="2"/>
        <v>-0.57028556965659483</v>
      </c>
    </row>
    <row r="8" spans="1:17" x14ac:dyDescent="0.25">
      <c r="A8" s="110"/>
      <c r="B8" s="110"/>
      <c r="C8" s="5" t="s">
        <v>62</v>
      </c>
      <c r="D8" s="12">
        <v>1.046</v>
      </c>
      <c r="E8" s="13">
        <v>1.98</v>
      </c>
      <c r="F8" s="13">
        <v>15.2</v>
      </c>
      <c r="G8" s="14">
        <v>116.92</v>
      </c>
      <c r="H8">
        <v>2.0710800000000003</v>
      </c>
      <c r="I8">
        <v>15.8992</v>
      </c>
      <c r="J8">
        <v>122.29832</v>
      </c>
      <c r="K8" s="15">
        <v>1.6317600000000001</v>
      </c>
      <c r="L8" s="13">
        <v>15.29252</v>
      </c>
      <c r="M8" s="14">
        <v>27.300600000000003</v>
      </c>
      <c r="N8" s="107"/>
      <c r="O8" s="108"/>
      <c r="P8" s="108"/>
      <c r="Q8" s="109"/>
    </row>
    <row r="9" spans="1:17" x14ac:dyDescent="0.25">
      <c r="A9" s="110"/>
      <c r="B9" s="110" t="s">
        <v>61</v>
      </c>
      <c r="C9" s="5" t="s">
        <v>59</v>
      </c>
      <c r="D9" s="12">
        <v>2.093</v>
      </c>
      <c r="E9" s="13">
        <v>1.94</v>
      </c>
      <c r="F9" s="13">
        <v>15.4</v>
      </c>
      <c r="G9" s="14">
        <v>120.98</v>
      </c>
      <c r="H9">
        <v>4.0604199999999997</v>
      </c>
      <c r="I9">
        <v>32.232199999999999</v>
      </c>
      <c r="J9">
        <v>253.21114</v>
      </c>
      <c r="K9" s="15">
        <v>3.1813600000000002</v>
      </c>
      <c r="L9" s="13">
        <v>31.018260000000001</v>
      </c>
      <c r="M9" s="14">
        <v>63.103949999999998</v>
      </c>
      <c r="N9" s="107">
        <f>(D10-D9)/D9</f>
        <v>-0.49976110845676064</v>
      </c>
      <c r="O9" s="108">
        <f>(K10-K9)/K9</f>
        <v>-0.48330588176125944</v>
      </c>
      <c r="P9" s="108">
        <f>(L10-L9)/L9</f>
        <v>-0.51393791914826947</v>
      </c>
      <c r="Q9" s="109">
        <f>(M10-M9)/M9</f>
        <v>-0.54970203925427807</v>
      </c>
    </row>
    <row r="10" spans="1:17" x14ac:dyDescent="0.25">
      <c r="A10" s="110"/>
      <c r="B10" s="110"/>
      <c r="C10" s="5" t="s">
        <v>62</v>
      </c>
      <c r="D10" s="12">
        <v>1.0469999999999999</v>
      </c>
      <c r="E10" s="13">
        <v>1.99</v>
      </c>
      <c r="F10" s="13">
        <v>14.98</v>
      </c>
      <c r="G10" s="14">
        <v>117.96</v>
      </c>
      <c r="H10">
        <v>2.0835299999999997</v>
      </c>
      <c r="I10">
        <v>15.684059999999999</v>
      </c>
      <c r="J10">
        <v>123.50411999999999</v>
      </c>
      <c r="K10" s="15">
        <v>1.6437899999999999</v>
      </c>
      <c r="L10" s="13">
        <v>15.076799999999999</v>
      </c>
      <c r="M10" s="14">
        <v>28.415579999999999</v>
      </c>
      <c r="N10" s="107"/>
      <c r="O10" s="108"/>
      <c r="P10" s="108"/>
      <c r="Q10" s="109"/>
    </row>
    <row r="11" spans="1:17" x14ac:dyDescent="0.25">
      <c r="A11" s="110" t="s">
        <v>105</v>
      </c>
      <c r="B11" s="110" t="s">
        <v>60</v>
      </c>
      <c r="C11" s="5" t="s">
        <v>59</v>
      </c>
      <c r="D11" s="12">
        <v>4.7110000000000003</v>
      </c>
      <c r="E11" s="13">
        <v>1.83</v>
      </c>
      <c r="F11" s="13">
        <v>25.14</v>
      </c>
      <c r="G11" s="14">
        <v>144.19999999999999</v>
      </c>
      <c r="H11">
        <v>8.6211300000000008</v>
      </c>
      <c r="I11">
        <v>118.43454000000001</v>
      </c>
      <c r="J11">
        <v>679.32619999999997</v>
      </c>
      <c r="K11" s="15">
        <v>6.6425099999999997</v>
      </c>
      <c r="L11" s="13">
        <v>115.70216000000001</v>
      </c>
      <c r="M11" s="14">
        <v>243.32315</v>
      </c>
      <c r="N11" s="107">
        <f>(D12-D11)/D11</f>
        <v>0.13797495223943948</v>
      </c>
      <c r="O11" s="108">
        <f>(K12-K11)/K11</f>
        <v>0.20254090697642904</v>
      </c>
      <c r="P11" s="108">
        <f>(L12-L11)/L11</f>
        <v>0.16021550505193674</v>
      </c>
      <c r="Q11" s="109">
        <f>(M12-M11)/M11</f>
        <v>0.18556499864480636</v>
      </c>
    </row>
    <row r="12" spans="1:17" x14ac:dyDescent="0.25">
      <c r="A12" s="110"/>
      <c r="B12" s="110"/>
      <c r="C12" s="5" t="s">
        <v>62</v>
      </c>
      <c r="D12" s="12">
        <v>5.3609999999999998</v>
      </c>
      <c r="E12" s="13">
        <v>1.91</v>
      </c>
      <c r="F12" s="13">
        <v>25.62</v>
      </c>
      <c r="G12" s="14">
        <v>146.35</v>
      </c>
      <c r="H12">
        <v>10.239509999999999</v>
      </c>
      <c r="I12">
        <v>137.34881999999999</v>
      </c>
      <c r="J12">
        <v>784.58234999999991</v>
      </c>
      <c r="K12" s="15">
        <v>7.9878899999999993</v>
      </c>
      <c r="L12" s="13">
        <v>134.23944</v>
      </c>
      <c r="M12" s="14">
        <v>288.47541000000001</v>
      </c>
      <c r="N12" s="107"/>
      <c r="O12" s="108"/>
      <c r="P12" s="108"/>
      <c r="Q12" s="109"/>
    </row>
    <row r="13" spans="1:17" x14ac:dyDescent="0.25">
      <c r="A13" s="110"/>
      <c r="B13" s="110" t="s">
        <v>61</v>
      </c>
      <c r="C13" s="5" t="s">
        <v>59</v>
      </c>
      <c r="D13" s="12">
        <v>22.884</v>
      </c>
      <c r="E13" s="13">
        <v>1.88</v>
      </c>
      <c r="F13" s="13">
        <v>22.12</v>
      </c>
      <c r="G13" s="14">
        <v>141.77000000000001</v>
      </c>
      <c r="H13">
        <v>43.021920000000001</v>
      </c>
      <c r="I13">
        <v>506.19408000000004</v>
      </c>
      <c r="J13">
        <v>3244.2646800000002</v>
      </c>
      <c r="K13" s="15">
        <v>33.410640000000001</v>
      </c>
      <c r="L13" s="13">
        <v>492.92135999999999</v>
      </c>
      <c r="M13" s="14">
        <v>1126.5793200000001</v>
      </c>
      <c r="N13" s="107">
        <f>(D14-D13)/D13</f>
        <v>-0.80401153644467749</v>
      </c>
      <c r="O13" s="108">
        <f t="shared" ref="O13:Q13" si="3">(K14-K13)/K13</f>
        <v>-0.79998437623463658</v>
      </c>
      <c r="P13" s="108">
        <f t="shared" si="3"/>
        <v>-0.78381216833451894</v>
      </c>
      <c r="Q13" s="109">
        <f t="shared" si="3"/>
        <v>-0.79879632443457238</v>
      </c>
    </row>
    <row r="14" spans="1:17" x14ac:dyDescent="0.25">
      <c r="A14" s="110"/>
      <c r="B14" s="110"/>
      <c r="C14" s="5" t="s">
        <v>62</v>
      </c>
      <c r="D14" s="12">
        <v>4.4850000000000003</v>
      </c>
      <c r="E14" s="13">
        <v>1.91</v>
      </c>
      <c r="F14" s="13">
        <v>24.34</v>
      </c>
      <c r="G14" s="14">
        <v>143.09</v>
      </c>
      <c r="H14">
        <v>8.5663499999999999</v>
      </c>
      <c r="I14">
        <v>109.1649</v>
      </c>
      <c r="J14">
        <v>641.7586500000001</v>
      </c>
      <c r="K14" s="15">
        <v>6.6826500000000006</v>
      </c>
      <c r="L14" s="13">
        <v>106.56360000000001</v>
      </c>
      <c r="M14" s="14">
        <v>226.67190000000002</v>
      </c>
      <c r="N14" s="107"/>
      <c r="O14" s="108"/>
      <c r="P14" s="108"/>
      <c r="Q14" s="109"/>
    </row>
    <row r="15" spans="1:17" x14ac:dyDescent="0.25">
      <c r="A15" s="110" t="s">
        <v>104</v>
      </c>
      <c r="B15" s="110" t="s">
        <v>60</v>
      </c>
      <c r="C15" s="5" t="s">
        <v>59</v>
      </c>
      <c r="D15" s="12">
        <v>0.52400000000000002</v>
      </c>
      <c r="E15" s="13">
        <v>2.04</v>
      </c>
      <c r="F15" s="13">
        <v>8.9499999999999993</v>
      </c>
      <c r="G15" s="14">
        <v>106.49</v>
      </c>
      <c r="H15" s="15">
        <v>1.0689600000000001</v>
      </c>
      <c r="I15" s="13">
        <v>4.6898</v>
      </c>
      <c r="J15" s="14">
        <v>55.800759999999997</v>
      </c>
      <c r="K15" s="15">
        <v>0.84888000000000008</v>
      </c>
      <c r="L15" s="13">
        <v>4.3858799999999993</v>
      </c>
      <c r="M15" s="14">
        <v>7.3360000000000003</v>
      </c>
      <c r="N15" s="107">
        <f>(D16-D15)/D15</f>
        <v>0</v>
      </c>
      <c r="O15" s="108">
        <f t="shared" ref="O15:Q15" si="4">(K16-K15)/K15</f>
        <v>-6.1728395061728652E-3</v>
      </c>
      <c r="P15" s="108">
        <f t="shared" si="4"/>
        <v>-8.9605734767024853E-2</v>
      </c>
      <c r="Q15" s="109">
        <f t="shared" si="4"/>
        <v>-0.11428571428571428</v>
      </c>
    </row>
    <row r="16" spans="1:17" x14ac:dyDescent="0.25">
      <c r="A16" s="110"/>
      <c r="B16" s="110"/>
      <c r="C16" s="5" t="s">
        <v>62</v>
      </c>
      <c r="D16" s="12">
        <v>0.52400000000000002</v>
      </c>
      <c r="E16" s="13">
        <v>2.0299999999999998</v>
      </c>
      <c r="F16" s="13">
        <v>8.1999999999999993</v>
      </c>
      <c r="G16" s="14">
        <v>104.89</v>
      </c>
      <c r="H16" s="15">
        <v>1.06372</v>
      </c>
      <c r="I16" s="13">
        <v>4.2968000000000002</v>
      </c>
      <c r="J16" s="14">
        <v>54.962360000000004</v>
      </c>
      <c r="K16" s="15">
        <v>0.84364000000000006</v>
      </c>
      <c r="L16" s="13">
        <v>3.9928800000000004</v>
      </c>
      <c r="M16" s="14">
        <v>6.4976000000000003</v>
      </c>
      <c r="N16" s="107"/>
      <c r="O16" s="108"/>
      <c r="P16" s="108"/>
      <c r="Q16" s="109"/>
    </row>
    <row r="17" spans="1:17" x14ac:dyDescent="0.25">
      <c r="A17" s="110"/>
      <c r="B17" s="110" t="s">
        <v>61</v>
      </c>
      <c r="C17" s="5" t="s">
        <v>59</v>
      </c>
      <c r="D17" s="12">
        <v>0.52400000000000002</v>
      </c>
      <c r="E17" s="13">
        <v>2.0499999999999998</v>
      </c>
      <c r="F17" s="13">
        <v>8.24</v>
      </c>
      <c r="G17" s="14">
        <v>104.52</v>
      </c>
      <c r="H17" s="15">
        <v>1.0742</v>
      </c>
      <c r="I17" s="13">
        <v>4.3177600000000007</v>
      </c>
      <c r="J17" s="14">
        <v>54.768479999999997</v>
      </c>
      <c r="K17" s="15">
        <v>0.85411999999999999</v>
      </c>
      <c r="L17" s="13">
        <v>4.0138400000000001</v>
      </c>
      <c r="M17" s="14">
        <v>6.3037200000000002</v>
      </c>
      <c r="N17" s="107">
        <f>(D18-D17)/D17</f>
        <v>-1.9083969465648872E-3</v>
      </c>
      <c r="O17" s="108">
        <f t="shared" ref="O17:Q17" si="5">(K18-K17)/K17</f>
        <v>-2.6401442420268768E-2</v>
      </c>
      <c r="P17" s="108">
        <f t="shared" si="5"/>
        <v>-1.3635321786618231E-2</v>
      </c>
      <c r="Q17" s="109">
        <f t="shared" si="5"/>
        <v>-3.0946806012957413E-2</v>
      </c>
    </row>
    <row r="18" spans="1:17" x14ac:dyDescent="0.25">
      <c r="A18" s="110"/>
      <c r="B18" s="110"/>
      <c r="C18" s="5" t="s">
        <v>62</v>
      </c>
      <c r="D18" s="12">
        <v>0.52300000000000002</v>
      </c>
      <c r="E18" s="13">
        <v>2.0099999999999998</v>
      </c>
      <c r="F18" s="13">
        <v>8.15</v>
      </c>
      <c r="G18" s="14">
        <v>104.17</v>
      </c>
      <c r="H18" s="15">
        <v>1.0512299999999999</v>
      </c>
      <c r="I18" s="13">
        <v>4.2624500000000003</v>
      </c>
      <c r="J18" s="14">
        <v>54.480910000000002</v>
      </c>
      <c r="K18" s="15">
        <v>0.83157000000000003</v>
      </c>
      <c r="L18" s="13">
        <v>3.9591100000000004</v>
      </c>
      <c r="M18" s="14">
        <v>6.1086400000000003</v>
      </c>
      <c r="N18" s="107"/>
      <c r="O18" s="108"/>
      <c r="P18" s="108"/>
      <c r="Q18" s="109"/>
    </row>
    <row r="19" spans="1:17" x14ac:dyDescent="0.25">
      <c r="A19" s="110" t="s">
        <v>1</v>
      </c>
      <c r="B19" s="110" t="s">
        <v>60</v>
      </c>
      <c r="C19" s="5" t="s">
        <v>59</v>
      </c>
      <c r="D19" s="12">
        <v>76.260999999999996</v>
      </c>
      <c r="E19" s="13">
        <v>1.82</v>
      </c>
      <c r="F19" s="13">
        <v>27.27</v>
      </c>
      <c r="G19" s="14">
        <v>154.76</v>
      </c>
      <c r="H19" s="13">
        <v>138.79501999999999</v>
      </c>
      <c r="I19" s="13">
        <v>2079.6374699999997</v>
      </c>
      <c r="J19" s="13">
        <v>11802.152359999998</v>
      </c>
      <c r="K19" s="15">
        <v>106.76539999999999</v>
      </c>
      <c r="L19" s="13">
        <v>2035.4060899999999</v>
      </c>
      <c r="M19" s="14">
        <v>4730.46983</v>
      </c>
      <c r="N19" s="107">
        <f>(D20-D19)/D19</f>
        <v>-0.98621838161052178</v>
      </c>
      <c r="O19" s="108">
        <f t="shared" ref="O19:Q19" si="6">(K20-K19)/K19</f>
        <v>-0.98493865990292739</v>
      </c>
      <c r="P19" s="108">
        <f t="shared" si="6"/>
        <v>-0.99610149048930086</v>
      </c>
      <c r="Q19" s="109">
        <f t="shared" si="6"/>
        <v>-0.99694507088738793</v>
      </c>
    </row>
    <row r="20" spans="1:17" x14ac:dyDescent="0.25">
      <c r="A20" s="110"/>
      <c r="B20" s="110"/>
      <c r="C20" s="5" t="s">
        <v>62</v>
      </c>
      <c r="D20" s="12">
        <v>1.0509999999999999</v>
      </c>
      <c r="E20" s="13">
        <v>1.95</v>
      </c>
      <c r="F20" s="13">
        <v>8.1300000000000008</v>
      </c>
      <c r="G20" s="14">
        <v>106.48</v>
      </c>
      <c r="H20" s="13">
        <v>2.0494499999999998</v>
      </c>
      <c r="I20" s="13">
        <v>8.5446299999999997</v>
      </c>
      <c r="J20" s="13">
        <v>111.91047999999999</v>
      </c>
      <c r="K20" s="15">
        <v>1.6080299999999998</v>
      </c>
      <c r="L20" s="13">
        <v>7.9350499999999995</v>
      </c>
      <c r="M20" s="14">
        <v>14.45125</v>
      </c>
      <c r="N20" s="107"/>
      <c r="O20" s="108"/>
      <c r="P20" s="108"/>
      <c r="Q20" s="109"/>
    </row>
    <row r="21" spans="1:17" x14ac:dyDescent="0.25">
      <c r="A21" s="110"/>
      <c r="B21" s="110" t="s">
        <v>61</v>
      </c>
      <c r="C21" s="5" t="s">
        <v>59</v>
      </c>
      <c r="D21" s="12">
        <v>76.289000000000001</v>
      </c>
      <c r="E21" s="13">
        <v>1.84</v>
      </c>
      <c r="F21" s="13">
        <v>27.34</v>
      </c>
      <c r="G21" s="14">
        <v>155</v>
      </c>
      <c r="H21" s="13">
        <v>140.37175999999999</v>
      </c>
      <c r="I21" s="13">
        <v>2085.7412600000002</v>
      </c>
      <c r="J21" s="13">
        <v>11824.795</v>
      </c>
      <c r="K21" s="15">
        <v>108.33037999999999</v>
      </c>
      <c r="L21" s="13">
        <v>2041.4936400000001</v>
      </c>
      <c r="M21" s="14">
        <v>4750.5160300000007</v>
      </c>
      <c r="N21" s="107">
        <f>(D22-D21)/D21</f>
        <v>-0.99310516588236841</v>
      </c>
      <c r="O21" s="108">
        <f t="shared" ref="O21:Q21" si="7">(K22-K21)/K21</f>
        <v>-0.99213406248551883</v>
      </c>
      <c r="P21" s="108">
        <f t="shared" si="7"/>
        <v>-0.99811396914271067</v>
      </c>
      <c r="Q21" s="109">
        <f t="shared" si="7"/>
        <v>-0.99870451968562246</v>
      </c>
    </row>
    <row r="22" spans="1:17" x14ac:dyDescent="0.25">
      <c r="A22" s="110"/>
      <c r="B22" s="110"/>
      <c r="C22" s="5" t="s">
        <v>62</v>
      </c>
      <c r="D22" s="12">
        <v>0.52600000000000002</v>
      </c>
      <c r="E22" s="13">
        <v>2.04</v>
      </c>
      <c r="F22" s="13">
        <v>7.9</v>
      </c>
      <c r="G22" s="14">
        <v>104.43</v>
      </c>
      <c r="H22" s="13">
        <v>1.07304</v>
      </c>
      <c r="I22" s="13">
        <v>4.1554000000000002</v>
      </c>
      <c r="J22" s="13">
        <v>54.930180000000007</v>
      </c>
      <c r="K22" s="15">
        <v>0.8521200000000001</v>
      </c>
      <c r="L22" s="13">
        <v>3.8503200000000004</v>
      </c>
      <c r="M22" s="14">
        <v>6.1542000000000003</v>
      </c>
      <c r="N22" s="107"/>
      <c r="O22" s="108"/>
      <c r="P22" s="108"/>
      <c r="Q22" s="109"/>
    </row>
    <row r="23" spans="1:17" x14ac:dyDescent="0.25">
      <c r="A23" s="110" t="s">
        <v>2</v>
      </c>
      <c r="B23" s="110" t="s">
        <v>60</v>
      </c>
      <c r="C23" s="5" t="s">
        <v>59</v>
      </c>
      <c r="D23" s="12">
        <v>2.0939999999999999</v>
      </c>
      <c r="E23" s="13">
        <v>1.94</v>
      </c>
      <c r="F23" s="13">
        <v>17.399999999999999</v>
      </c>
      <c r="G23" s="14">
        <v>126.84</v>
      </c>
      <c r="H23" s="13">
        <v>4.06236</v>
      </c>
      <c r="I23" s="13">
        <v>36.435599999999994</v>
      </c>
      <c r="J23" s="13">
        <v>265.60296</v>
      </c>
      <c r="K23" s="15">
        <v>3.1828799999999999</v>
      </c>
      <c r="L23" s="13">
        <v>35.221080000000001</v>
      </c>
      <c r="M23" s="14">
        <v>70.463099999999997</v>
      </c>
      <c r="N23" s="107">
        <f>(D24-D23)/D23</f>
        <v>-4.7755491881561126E-4</v>
      </c>
      <c r="O23" s="108">
        <f t="shared" ref="O23:Q23" si="8">(K24-K23)/K23</f>
        <v>-4.7755491881558328E-4</v>
      </c>
      <c r="P23" s="108">
        <f t="shared" si="8"/>
        <v>-1.8899193323997997E-2</v>
      </c>
      <c r="Q23" s="109">
        <f t="shared" si="8"/>
        <v>-4.8597209035651165E-2</v>
      </c>
    </row>
    <row r="24" spans="1:17" x14ac:dyDescent="0.25">
      <c r="A24" s="110"/>
      <c r="B24" s="110"/>
      <c r="C24" s="5" t="s">
        <v>62</v>
      </c>
      <c r="D24" s="12">
        <v>2.093</v>
      </c>
      <c r="E24" s="13">
        <v>1.94</v>
      </c>
      <c r="F24" s="13">
        <v>17.09</v>
      </c>
      <c r="G24" s="14">
        <v>125.22</v>
      </c>
      <c r="H24" s="13">
        <v>4.0604199999999997</v>
      </c>
      <c r="I24" s="13">
        <v>35.769370000000002</v>
      </c>
      <c r="J24" s="13">
        <v>262.08546000000001</v>
      </c>
      <c r="K24" s="15">
        <v>3.1813600000000002</v>
      </c>
      <c r="L24" s="13">
        <v>34.555430000000001</v>
      </c>
      <c r="M24" s="14">
        <v>67.038790000000006</v>
      </c>
      <c r="N24" s="107"/>
      <c r="O24" s="108"/>
      <c r="P24" s="108"/>
      <c r="Q24" s="109"/>
    </row>
    <row r="25" spans="1:17" x14ac:dyDescent="0.25">
      <c r="A25" s="110"/>
      <c r="B25" s="110" t="s">
        <v>61</v>
      </c>
      <c r="C25" s="5" t="s">
        <v>59</v>
      </c>
      <c r="D25" s="12">
        <v>1.0469999999999999</v>
      </c>
      <c r="E25" s="13">
        <v>2.0099999999999998</v>
      </c>
      <c r="F25" s="13">
        <v>13.58</v>
      </c>
      <c r="G25" s="14">
        <v>116.79</v>
      </c>
      <c r="H25" s="13">
        <v>2.1044699999999996</v>
      </c>
      <c r="I25" s="13">
        <v>14.218259999999999</v>
      </c>
      <c r="J25" s="13">
        <v>122.27912999999999</v>
      </c>
      <c r="K25" s="15">
        <v>1.66473</v>
      </c>
      <c r="L25" s="13">
        <v>13.610999999999999</v>
      </c>
      <c r="M25" s="14">
        <v>24.709199999999999</v>
      </c>
      <c r="N25" s="107">
        <f>(D26-D25)/D25</f>
        <v>0</v>
      </c>
      <c r="O25" s="108">
        <f t="shared" ref="O25:Q25" si="9">(K26-K25)/K25</f>
        <v>-6.2893081761006163E-3</v>
      </c>
      <c r="P25" s="108">
        <f t="shared" si="9"/>
        <v>-0.2223076923076924</v>
      </c>
      <c r="Q25" s="109">
        <f t="shared" si="9"/>
        <v>-0.27457627118644062</v>
      </c>
    </row>
    <row r="26" spans="1:17" x14ac:dyDescent="0.25">
      <c r="A26" s="110"/>
      <c r="B26" s="110"/>
      <c r="C26" s="5" t="s">
        <v>62</v>
      </c>
      <c r="D26" s="12">
        <v>1.0469999999999999</v>
      </c>
      <c r="E26" s="13">
        <v>2</v>
      </c>
      <c r="F26" s="13">
        <v>10.69</v>
      </c>
      <c r="G26" s="14">
        <v>110.3</v>
      </c>
      <c r="H26" s="13">
        <v>2.0939999999999999</v>
      </c>
      <c r="I26" s="13">
        <v>11.192429999999998</v>
      </c>
      <c r="J26" s="13">
        <v>115.48409999999998</v>
      </c>
      <c r="K26" s="15">
        <v>1.6542600000000001</v>
      </c>
      <c r="L26" s="13">
        <v>10.585169999999998</v>
      </c>
      <c r="M26" s="14">
        <v>17.92464</v>
      </c>
      <c r="N26" s="107"/>
      <c r="O26" s="108"/>
      <c r="P26" s="108"/>
      <c r="Q26" s="109"/>
    </row>
    <row r="27" spans="1:17" x14ac:dyDescent="0.25">
      <c r="A27" s="110" t="s">
        <v>3</v>
      </c>
      <c r="B27" s="110" t="s">
        <v>60</v>
      </c>
      <c r="C27" s="5" t="s">
        <v>59</v>
      </c>
      <c r="D27" s="12">
        <v>1.0469999999999999</v>
      </c>
      <c r="E27" s="13">
        <v>2</v>
      </c>
      <c r="F27" s="13">
        <v>13.98</v>
      </c>
      <c r="G27" s="14">
        <v>116.33</v>
      </c>
      <c r="H27" s="13">
        <v>2.0939999999999999</v>
      </c>
      <c r="I27" s="13">
        <v>14.63706</v>
      </c>
      <c r="J27" s="13">
        <v>121.79750999999999</v>
      </c>
      <c r="K27" s="15">
        <v>1.6542600000000001</v>
      </c>
      <c r="L27" s="13">
        <v>14.0298</v>
      </c>
      <c r="M27" s="14">
        <v>23.526089999999996</v>
      </c>
      <c r="N27" s="107">
        <f>(D28-D27)/D27</f>
        <v>0</v>
      </c>
      <c r="O27" s="108">
        <f t="shared" ref="O27:Q27" si="10">(K28-K27)/K27</f>
        <v>0</v>
      </c>
      <c r="P27" s="108">
        <f t="shared" si="10"/>
        <v>-0.25671641791044775</v>
      </c>
      <c r="Q27" s="109">
        <f t="shared" si="10"/>
        <v>-0.20516243880729851</v>
      </c>
    </row>
    <row r="28" spans="1:17" x14ac:dyDescent="0.25">
      <c r="A28" s="110"/>
      <c r="B28" s="110"/>
      <c r="C28" s="5" t="s">
        <v>62</v>
      </c>
      <c r="D28" s="12">
        <v>1.0469999999999999</v>
      </c>
      <c r="E28" s="13">
        <v>2</v>
      </c>
      <c r="F28" s="13">
        <v>10.54</v>
      </c>
      <c r="G28" s="14">
        <v>111.73</v>
      </c>
      <c r="H28" s="13">
        <v>2.0939999999999999</v>
      </c>
      <c r="I28" s="13">
        <v>11.035379999999998</v>
      </c>
      <c r="J28" s="13">
        <v>116.98130999999999</v>
      </c>
      <c r="K28" s="15">
        <v>1.6542600000000001</v>
      </c>
      <c r="L28" s="13">
        <v>10.42812</v>
      </c>
      <c r="M28" s="14">
        <v>18.69942</v>
      </c>
      <c r="N28" s="107"/>
      <c r="O28" s="108"/>
      <c r="P28" s="108"/>
      <c r="Q28" s="109"/>
    </row>
    <row r="29" spans="1:17" x14ac:dyDescent="0.25">
      <c r="A29" s="110"/>
      <c r="B29" s="110" t="s">
        <v>61</v>
      </c>
      <c r="C29" s="5" t="s">
        <v>59</v>
      </c>
      <c r="D29" s="12">
        <v>0.59399999999999997</v>
      </c>
      <c r="E29" s="13">
        <v>2.08</v>
      </c>
      <c r="F29" s="13">
        <v>8.9700000000000006</v>
      </c>
      <c r="G29" s="14">
        <v>107.23</v>
      </c>
      <c r="H29" s="13">
        <v>1.23552</v>
      </c>
      <c r="I29" s="13">
        <v>5.3281799999999997</v>
      </c>
      <c r="J29" s="13">
        <v>63.69462</v>
      </c>
      <c r="K29" s="15">
        <v>0.98603999999999992</v>
      </c>
      <c r="L29" s="13">
        <v>4.9836600000000004</v>
      </c>
      <c r="M29" s="14">
        <v>7.9417799999999987</v>
      </c>
      <c r="N29" s="107">
        <f>(D30-D29)/D29</f>
        <v>2.8619528619528645E-2</v>
      </c>
      <c r="O29" s="108">
        <f t="shared" ref="O29:Q29" si="11">(K30-K29)/K29</f>
        <v>2.8619528619528645E-2</v>
      </c>
      <c r="P29" s="108">
        <f t="shared" si="11"/>
        <v>2.1263489082320869E-2</v>
      </c>
      <c r="Q29" s="109">
        <f t="shared" si="11"/>
        <v>7.5549813769709137E-2</v>
      </c>
    </row>
    <row r="30" spans="1:17" x14ac:dyDescent="0.25">
      <c r="A30" s="110"/>
      <c r="B30" s="110"/>
      <c r="C30" s="5" t="s">
        <v>62</v>
      </c>
      <c r="D30" s="12">
        <v>0.61099999999999999</v>
      </c>
      <c r="E30" s="13">
        <v>2.08</v>
      </c>
      <c r="F30" s="13">
        <v>8.91</v>
      </c>
      <c r="G30" s="14">
        <v>107.85</v>
      </c>
      <c r="H30" s="13">
        <v>1.27088</v>
      </c>
      <c r="I30" s="13">
        <v>5.4440099999999996</v>
      </c>
      <c r="J30" s="13">
        <v>65.896349999999998</v>
      </c>
      <c r="K30" s="15">
        <v>1.0142599999999999</v>
      </c>
      <c r="L30" s="13">
        <v>5.0896299999999997</v>
      </c>
      <c r="M30" s="14">
        <v>8.5417799999999993</v>
      </c>
      <c r="N30" s="107"/>
      <c r="O30" s="108"/>
      <c r="P30" s="108"/>
      <c r="Q30" s="109"/>
    </row>
    <row r="31" spans="1:17" x14ac:dyDescent="0.25">
      <c r="A31" s="110" t="s">
        <v>4</v>
      </c>
      <c r="B31" s="110" t="s">
        <v>60</v>
      </c>
      <c r="C31" s="5" t="s">
        <v>59</v>
      </c>
      <c r="D31" s="12">
        <v>8.3759999999999994</v>
      </c>
      <c r="E31" s="13">
        <v>1.92</v>
      </c>
      <c r="F31" s="13">
        <v>23.19</v>
      </c>
      <c r="G31" s="14">
        <v>141.44</v>
      </c>
      <c r="H31" s="15">
        <v>16.081919999999997</v>
      </c>
      <c r="I31" s="13">
        <v>194.23944</v>
      </c>
      <c r="J31" s="14">
        <v>1184.7014399999998</v>
      </c>
      <c r="K31" s="15">
        <v>12.564</v>
      </c>
      <c r="L31" s="13">
        <v>189.38135999999997</v>
      </c>
      <c r="M31" s="14">
        <v>418.63247999999993</v>
      </c>
      <c r="N31" s="107">
        <f>(D32-D31)/D31</f>
        <v>5.4918815663802713E-3</v>
      </c>
      <c r="O31" s="108">
        <f t="shared" ref="O31:Q31" si="12">(K32-K31)/K31</f>
        <v>5.4918815663802002E-3</v>
      </c>
      <c r="P31" s="108">
        <f t="shared" si="12"/>
        <v>-5.6258968675690522E-3</v>
      </c>
      <c r="Q31" s="109">
        <f t="shared" si="12"/>
        <v>-5.1705973697976984E-3</v>
      </c>
    </row>
    <row r="32" spans="1:17" x14ac:dyDescent="0.25">
      <c r="A32" s="110"/>
      <c r="B32" s="110"/>
      <c r="C32" s="5" t="s">
        <v>62</v>
      </c>
      <c r="D32" s="12">
        <v>8.4220000000000006</v>
      </c>
      <c r="E32" s="13">
        <v>1.92</v>
      </c>
      <c r="F32" s="13">
        <v>22.94</v>
      </c>
      <c r="G32" s="14">
        <v>140.91</v>
      </c>
      <c r="H32" s="15">
        <v>16.17024</v>
      </c>
      <c r="I32" s="13">
        <v>193.20068000000003</v>
      </c>
      <c r="J32" s="14">
        <v>1186.7440200000001</v>
      </c>
      <c r="K32" s="15">
        <v>12.633000000000001</v>
      </c>
      <c r="L32" s="13">
        <v>188.31592000000001</v>
      </c>
      <c r="M32" s="14">
        <v>416.46790000000004</v>
      </c>
      <c r="N32" s="107"/>
      <c r="O32" s="108"/>
      <c r="P32" s="108"/>
      <c r="Q32" s="109"/>
    </row>
    <row r="33" spans="1:17" x14ac:dyDescent="0.25">
      <c r="A33" s="110"/>
      <c r="B33" s="110" t="s">
        <v>61</v>
      </c>
      <c r="C33" s="5" t="s">
        <v>59</v>
      </c>
      <c r="D33" s="12">
        <v>6.2809999999999997</v>
      </c>
      <c r="E33" s="13">
        <v>1.92</v>
      </c>
      <c r="F33" s="13">
        <v>22.2</v>
      </c>
      <c r="G33" s="14">
        <v>138.38</v>
      </c>
      <c r="H33" s="15">
        <v>12.059519999999999</v>
      </c>
      <c r="I33" s="13">
        <v>139.43819999999999</v>
      </c>
      <c r="J33" s="14">
        <v>869.16477999999995</v>
      </c>
      <c r="K33" s="15">
        <v>9.4215</v>
      </c>
      <c r="L33" s="13">
        <v>135.79522</v>
      </c>
      <c r="M33" s="14">
        <v>294.70452</v>
      </c>
      <c r="N33" s="107">
        <f>(D34-D33)/D33</f>
        <v>-7.9605158414265242E-2</v>
      </c>
      <c r="O33" s="108">
        <f>(K34-K33)/K33</f>
        <v>-7.9605158414265242E-2</v>
      </c>
      <c r="P33" s="108">
        <f>(L34-L33)/L33</f>
        <v>-0.13154233263880727</v>
      </c>
      <c r="Q33" s="109">
        <f>(M34-M33)/M33</f>
        <v>-0.11118733435103059</v>
      </c>
    </row>
    <row r="34" spans="1:17" x14ac:dyDescent="0.25">
      <c r="A34" s="110"/>
      <c r="B34" s="110"/>
      <c r="C34" s="5" t="s">
        <v>62</v>
      </c>
      <c r="D34" s="12">
        <v>5.7809999999999997</v>
      </c>
      <c r="E34" s="13">
        <v>1.92</v>
      </c>
      <c r="F34" s="13">
        <v>20.98</v>
      </c>
      <c r="G34" s="14">
        <v>136.77000000000001</v>
      </c>
      <c r="H34" s="15">
        <v>11.099519999999998</v>
      </c>
      <c r="I34" s="13">
        <v>121.28537999999999</v>
      </c>
      <c r="J34" s="14">
        <v>790.66737000000001</v>
      </c>
      <c r="K34" s="15">
        <v>8.6715</v>
      </c>
      <c r="L34" s="13">
        <v>117.93239999999999</v>
      </c>
      <c r="M34" s="14">
        <v>261.93711000000002</v>
      </c>
      <c r="N34" s="107"/>
      <c r="O34" s="108"/>
      <c r="P34" s="108"/>
      <c r="Q34" s="109"/>
    </row>
    <row r="35" spans="1:17" x14ac:dyDescent="0.25">
      <c r="A35" s="110" t="s">
        <v>7</v>
      </c>
      <c r="B35" s="110" t="s">
        <v>60</v>
      </c>
      <c r="C35" s="5" t="s">
        <v>59</v>
      </c>
      <c r="D35" s="12">
        <v>1.0469999999999999</v>
      </c>
      <c r="E35" s="13">
        <v>1.96</v>
      </c>
      <c r="F35" s="13">
        <v>10.33</v>
      </c>
      <c r="G35" s="14">
        <v>110.49</v>
      </c>
      <c r="H35" s="15">
        <v>2.0521199999999999</v>
      </c>
      <c r="I35" s="13">
        <v>11.914860000000001</v>
      </c>
      <c r="J35" s="14">
        <v>117.61998</v>
      </c>
      <c r="K35" s="15">
        <v>1.6123799999999999</v>
      </c>
      <c r="L35" s="13">
        <v>11.307600000000001</v>
      </c>
      <c r="M35" s="14">
        <v>20.510729999999999</v>
      </c>
      <c r="N35" s="107">
        <f>(D36-D35)/D35</f>
        <v>-0.35052531041069712</v>
      </c>
      <c r="O35" s="108">
        <f>(K36-K35)/K35</f>
        <v>0</v>
      </c>
      <c r="P35" s="108">
        <f>(L36-L35)/L35</f>
        <v>-9.7222222222222321E-2</v>
      </c>
      <c r="Q35" s="109">
        <f>(M36-M35)/M35</f>
        <v>-9.4946401225114913E-2</v>
      </c>
    </row>
    <row r="36" spans="1:17" x14ac:dyDescent="0.25">
      <c r="A36" s="110"/>
      <c r="B36" s="110"/>
      <c r="C36" s="5" t="s">
        <v>62</v>
      </c>
      <c r="D36" s="12">
        <v>0.68</v>
      </c>
      <c r="E36" s="13">
        <v>2.0699999999999998</v>
      </c>
      <c r="F36" s="13">
        <v>8.61</v>
      </c>
      <c r="G36" s="14">
        <v>105.35</v>
      </c>
      <c r="H36" s="15">
        <v>2.0521199999999999</v>
      </c>
      <c r="I36" s="13">
        <v>10.81551</v>
      </c>
      <c r="J36" s="14">
        <v>115.68302999999999</v>
      </c>
      <c r="K36" s="15">
        <v>1.6123799999999999</v>
      </c>
      <c r="L36" s="13">
        <v>10.20825</v>
      </c>
      <c r="M36" s="14">
        <v>18.563309999999998</v>
      </c>
      <c r="N36" s="107"/>
      <c r="O36" s="108"/>
      <c r="P36" s="108"/>
      <c r="Q36" s="109"/>
    </row>
    <row r="37" spans="1:17" x14ac:dyDescent="0.25">
      <c r="A37" s="110"/>
      <c r="B37" s="110" t="s">
        <v>61</v>
      </c>
      <c r="C37" s="5" t="s">
        <v>59</v>
      </c>
      <c r="D37" s="12">
        <v>1.0469999999999999</v>
      </c>
      <c r="E37" s="13">
        <v>1.96</v>
      </c>
      <c r="F37" s="13">
        <v>11.38</v>
      </c>
      <c r="G37" s="14">
        <v>112.34</v>
      </c>
      <c r="H37" s="15">
        <v>1.3243</v>
      </c>
      <c r="I37" s="13">
        <v>5.6718799999999998</v>
      </c>
      <c r="J37" s="14">
        <v>68.676259999999999</v>
      </c>
      <c r="K37" s="15">
        <v>1.05298</v>
      </c>
      <c r="L37" s="13">
        <v>5.2972000000000001</v>
      </c>
      <c r="M37" s="14">
        <v>8.7533000000000012</v>
      </c>
      <c r="N37" s="107">
        <f>(D38-D37)/D37</f>
        <v>-0.38299904489016229</v>
      </c>
      <c r="O37" s="108">
        <f>(K38-K37)/K37</f>
        <v>2.0019373587342577E-2</v>
      </c>
      <c r="P37" s="108">
        <f>(L38-L37)/L37</f>
        <v>6.2901155327342358E-3</v>
      </c>
      <c r="Q37" s="109">
        <f>(M38-M37)/M37</f>
        <v>2.7830646727519941E-2</v>
      </c>
    </row>
    <row r="38" spans="1:17" x14ac:dyDescent="0.25">
      <c r="A38" s="110"/>
      <c r="B38" s="110"/>
      <c r="C38" s="5" t="s">
        <v>62</v>
      </c>
      <c r="D38" s="12">
        <v>0.64600000000000002</v>
      </c>
      <c r="E38" s="13">
        <v>2.0499999999999998</v>
      </c>
      <c r="F38" s="13">
        <v>8.7799999999999994</v>
      </c>
      <c r="G38" s="14">
        <v>106.31</v>
      </c>
      <c r="H38" s="15">
        <v>1.3525200000000002</v>
      </c>
      <c r="I38" s="13">
        <v>5.7150599999999994</v>
      </c>
      <c r="J38" s="14">
        <v>70.490160000000003</v>
      </c>
      <c r="K38" s="15">
        <v>1.07406</v>
      </c>
      <c r="L38" s="13">
        <v>5.3305199999999999</v>
      </c>
      <c r="M38" s="14">
        <v>8.9969100000000015</v>
      </c>
      <c r="N38" s="107"/>
      <c r="O38" s="108"/>
      <c r="P38" s="108"/>
      <c r="Q38" s="109"/>
    </row>
    <row r="39" spans="1:17" x14ac:dyDescent="0.25">
      <c r="A39" s="110" t="s">
        <v>8</v>
      </c>
      <c r="B39" s="110" t="s">
        <v>60</v>
      </c>
      <c r="C39" s="5" t="s">
        <v>59</v>
      </c>
      <c r="D39" s="12">
        <v>1.046</v>
      </c>
      <c r="E39" s="13">
        <v>1.94</v>
      </c>
      <c r="F39" s="13">
        <v>10.4</v>
      </c>
      <c r="G39" s="14">
        <v>109.59</v>
      </c>
      <c r="H39" s="15">
        <v>2.0292400000000002</v>
      </c>
      <c r="I39" s="13">
        <v>10.878400000000001</v>
      </c>
      <c r="J39" s="14">
        <v>114.63114</v>
      </c>
      <c r="K39" s="15">
        <v>1.58992</v>
      </c>
      <c r="L39" s="13">
        <v>10.27172</v>
      </c>
      <c r="M39" s="14">
        <v>18.545580000000001</v>
      </c>
      <c r="N39" s="107">
        <f>(D40-D39)/D39</f>
        <v>9.5602294455056391E-4</v>
      </c>
      <c r="O39" s="108">
        <f>(K40-K39)/K39</f>
        <v>3.3882207909831853E-2</v>
      </c>
      <c r="P39" s="108">
        <f>(L40-L39)/L39</f>
        <v>3.0515824029470992E-2</v>
      </c>
      <c r="Q39" s="109">
        <f>(M40-M39)/M39</f>
        <v>5.571785837919311E-2</v>
      </c>
    </row>
    <row r="40" spans="1:17" x14ac:dyDescent="0.25">
      <c r="A40" s="110"/>
      <c r="B40" s="110"/>
      <c r="C40" s="5" t="s">
        <v>62</v>
      </c>
      <c r="D40" s="12">
        <v>1.0469999999999999</v>
      </c>
      <c r="E40" s="13">
        <v>1.99</v>
      </c>
      <c r="F40" s="13">
        <v>10.69</v>
      </c>
      <c r="G40" s="14">
        <v>110.56</v>
      </c>
      <c r="H40" s="15">
        <v>2.0835299999999997</v>
      </c>
      <c r="I40" s="13">
        <v>11.192429999999998</v>
      </c>
      <c r="J40" s="14">
        <v>115.75631999999999</v>
      </c>
      <c r="K40" s="15">
        <v>1.6437899999999999</v>
      </c>
      <c r="L40" s="13">
        <v>10.585169999999998</v>
      </c>
      <c r="M40" s="14">
        <v>19.578899999999997</v>
      </c>
      <c r="N40" s="107"/>
      <c r="O40" s="108"/>
      <c r="P40" s="108"/>
      <c r="Q40" s="109"/>
    </row>
    <row r="41" spans="1:17" x14ac:dyDescent="0.25">
      <c r="A41" s="110"/>
      <c r="B41" s="110" t="s">
        <v>61</v>
      </c>
      <c r="C41" s="5" t="s">
        <v>59</v>
      </c>
      <c r="D41" s="12">
        <v>0.69799999999999995</v>
      </c>
      <c r="E41" s="13">
        <v>2.02</v>
      </c>
      <c r="F41" s="13">
        <v>8.4600000000000009</v>
      </c>
      <c r="G41" s="14">
        <v>107.14</v>
      </c>
      <c r="H41" s="15">
        <v>1.4099599999999999</v>
      </c>
      <c r="I41" s="13">
        <v>5.9050799999999999</v>
      </c>
      <c r="J41" s="14">
        <v>74.783720000000002</v>
      </c>
      <c r="K41" s="15">
        <v>1.1168</v>
      </c>
      <c r="L41" s="13">
        <v>5.5002399999999998</v>
      </c>
      <c r="M41" s="14">
        <v>10.665439999999998</v>
      </c>
      <c r="N41" s="107">
        <f>(D42-D41)/D41</f>
        <v>-2.578796561604571E-2</v>
      </c>
      <c r="O41" s="108">
        <f t="shared" ref="O41:Q41" si="13">(K42-K41)/K41</f>
        <v>4.6561604584528056E-3</v>
      </c>
      <c r="P41" s="108">
        <f t="shared" si="13"/>
        <v>-7.2433202914781673E-3</v>
      </c>
      <c r="Q41" s="109">
        <f t="shared" si="13"/>
        <v>-0.13927601674192505</v>
      </c>
    </row>
    <row r="42" spans="1:17" x14ac:dyDescent="0.25">
      <c r="A42" s="110"/>
      <c r="B42" s="110"/>
      <c r="C42" s="5" t="s">
        <v>62</v>
      </c>
      <c r="D42" s="12">
        <v>0.68</v>
      </c>
      <c r="E42" s="13">
        <v>2.0699999999999998</v>
      </c>
      <c r="F42" s="13">
        <v>8.61</v>
      </c>
      <c r="G42" s="14">
        <v>105.35</v>
      </c>
      <c r="H42" s="15">
        <v>1.4076</v>
      </c>
      <c r="I42" s="13">
        <v>5.8548</v>
      </c>
      <c r="J42" s="14">
        <v>71.638000000000005</v>
      </c>
      <c r="K42" s="15">
        <v>1.1220000000000001</v>
      </c>
      <c r="L42" s="13">
        <v>5.4603999999999999</v>
      </c>
      <c r="M42" s="14">
        <v>9.1800000000000015</v>
      </c>
      <c r="N42" s="107"/>
      <c r="O42" s="108"/>
      <c r="P42" s="108"/>
      <c r="Q42" s="109"/>
    </row>
    <row r="43" spans="1:17" x14ac:dyDescent="0.25">
      <c r="A43" s="110" t="s">
        <v>10</v>
      </c>
      <c r="B43" s="110" t="s">
        <v>60</v>
      </c>
      <c r="C43" s="5" t="s">
        <v>59</v>
      </c>
      <c r="D43" s="12">
        <v>12.789</v>
      </c>
      <c r="E43" s="13">
        <v>1.84</v>
      </c>
      <c r="F43" s="13">
        <v>23.15</v>
      </c>
      <c r="G43" s="14">
        <v>144.81</v>
      </c>
      <c r="H43" s="15">
        <v>23.531760000000002</v>
      </c>
      <c r="I43" s="13">
        <v>296.06534999999997</v>
      </c>
      <c r="J43" s="14">
        <v>1851.9750899999999</v>
      </c>
      <c r="K43" s="15">
        <v>18.16038</v>
      </c>
      <c r="L43" s="13">
        <v>288.64773000000002</v>
      </c>
      <c r="M43" s="14">
        <v>673.59663</v>
      </c>
      <c r="N43" s="107">
        <f>(D44-D43)/D43</f>
        <v>0.39283759480803809</v>
      </c>
      <c r="O43" s="108">
        <f t="shared" ref="O43:Q43" si="14">(K44-K43)/K43</f>
        <v>0.39283759480803804</v>
      </c>
      <c r="P43" s="108">
        <f t="shared" si="14"/>
        <v>0.32927433726916866</v>
      </c>
      <c r="Q43" s="109">
        <f t="shared" si="14"/>
        <v>0.31720601096237672</v>
      </c>
    </row>
    <row r="44" spans="1:17" x14ac:dyDescent="0.25">
      <c r="A44" s="110"/>
      <c r="B44" s="110"/>
      <c r="C44" s="5" t="s">
        <v>62</v>
      </c>
      <c r="D44" s="12">
        <v>17.812999999999999</v>
      </c>
      <c r="E44" s="13">
        <v>1.84</v>
      </c>
      <c r="F44" s="13">
        <v>22.12</v>
      </c>
      <c r="G44" s="14">
        <v>141.94999999999999</v>
      </c>
      <c r="H44" s="15">
        <v>32.775919999999999</v>
      </c>
      <c r="I44" s="13">
        <v>394.02355999999997</v>
      </c>
      <c r="J44" s="14">
        <v>2528.5553499999996</v>
      </c>
      <c r="K44" s="15">
        <v>25.294459999999997</v>
      </c>
      <c r="L44" s="13">
        <v>383.69201999999996</v>
      </c>
      <c r="M44" s="14">
        <v>887.26553000000001</v>
      </c>
      <c r="N44" s="107"/>
      <c r="O44" s="108"/>
      <c r="P44" s="108"/>
      <c r="Q44" s="109"/>
    </row>
    <row r="45" spans="1:17" x14ac:dyDescent="0.25">
      <c r="A45" s="110"/>
      <c r="B45" s="110" t="s">
        <v>61</v>
      </c>
      <c r="C45" s="5" t="s">
        <v>59</v>
      </c>
      <c r="D45" s="12">
        <v>1.57</v>
      </c>
      <c r="E45" s="13">
        <v>1.92</v>
      </c>
      <c r="F45" s="13">
        <v>15.63</v>
      </c>
      <c r="G45" s="14">
        <v>121.52</v>
      </c>
      <c r="H45" s="15">
        <v>3.0144000000000002</v>
      </c>
      <c r="I45" s="13">
        <v>24.539100000000001</v>
      </c>
      <c r="J45" s="14">
        <v>190.78640000000001</v>
      </c>
      <c r="K45" s="15">
        <v>2.355</v>
      </c>
      <c r="L45" s="13">
        <v>23.628500000000003</v>
      </c>
      <c r="M45" s="14">
        <v>46.142300000000006</v>
      </c>
      <c r="N45" s="107">
        <f>(D46-D45)/D45</f>
        <v>4.4585987261145828E-3</v>
      </c>
      <c r="O45" s="108">
        <f t="shared" ref="O45:Q45" si="15">(K46-K45)/K45</f>
        <v>4.4585987261146305E-3</v>
      </c>
      <c r="P45" s="108">
        <f t="shared" si="15"/>
        <v>0.14261336944791231</v>
      </c>
      <c r="Q45" s="109">
        <f t="shared" si="15"/>
        <v>8.8875500354338527E-2</v>
      </c>
    </row>
    <row r="46" spans="1:17" x14ac:dyDescent="0.25">
      <c r="A46" s="110"/>
      <c r="B46" s="110"/>
      <c r="C46" s="5" t="s">
        <v>62</v>
      </c>
      <c r="D46" s="12">
        <v>1.577</v>
      </c>
      <c r="E46" s="13">
        <v>1.92</v>
      </c>
      <c r="F46" s="13">
        <v>17.7</v>
      </c>
      <c r="G46" s="14">
        <v>124</v>
      </c>
      <c r="H46" s="15">
        <v>3.0278399999999999</v>
      </c>
      <c r="I46" s="13">
        <v>27.912899999999997</v>
      </c>
      <c r="J46" s="14">
        <v>195.548</v>
      </c>
      <c r="K46" s="15">
        <v>2.3654999999999999</v>
      </c>
      <c r="L46" s="13">
        <v>26.998239999999999</v>
      </c>
      <c r="M46" s="14">
        <v>50.243220000000001</v>
      </c>
      <c r="N46" s="107"/>
      <c r="O46" s="108"/>
      <c r="P46" s="108"/>
      <c r="Q46" s="109"/>
    </row>
    <row r="47" spans="1:17" x14ac:dyDescent="0.25">
      <c r="A47" s="110" t="s">
        <v>11</v>
      </c>
      <c r="B47" s="110" t="s">
        <v>60</v>
      </c>
      <c r="C47" s="5" t="s">
        <v>59</v>
      </c>
      <c r="D47" s="12">
        <v>8.8979999999999997</v>
      </c>
      <c r="E47" s="13">
        <v>1.86</v>
      </c>
      <c r="F47" s="13">
        <v>21.7</v>
      </c>
      <c r="G47" s="14">
        <v>139.43</v>
      </c>
      <c r="H47" s="15">
        <v>16.550280000000001</v>
      </c>
      <c r="I47" s="13">
        <v>193.08659999999998</v>
      </c>
      <c r="J47" s="14">
        <v>1240.64814</v>
      </c>
      <c r="K47" s="15">
        <v>12.81312</v>
      </c>
      <c r="L47" s="13">
        <v>187.92576</v>
      </c>
      <c r="M47" s="14">
        <v>436.98077999999998</v>
      </c>
      <c r="N47" s="107">
        <f>(D48-D47)/D47</f>
        <v>-0.60384356035064057</v>
      </c>
      <c r="O47" s="108">
        <f t="shared" ref="O47:Q47" si="16">(K48-K47)/K47</f>
        <v>-0.59834138757773281</v>
      </c>
      <c r="P47" s="108">
        <f t="shared" si="16"/>
        <v>-0.64229624507039373</v>
      </c>
      <c r="Q47" s="109">
        <f t="shared" si="16"/>
        <v>-0.66732861797720255</v>
      </c>
    </row>
    <row r="48" spans="1:17" x14ac:dyDescent="0.25">
      <c r="A48" s="110"/>
      <c r="B48" s="110"/>
      <c r="C48" s="5" t="s">
        <v>62</v>
      </c>
      <c r="D48" s="12">
        <v>3.5249999999999999</v>
      </c>
      <c r="E48" s="13">
        <v>1.88</v>
      </c>
      <c r="F48" s="13">
        <v>19.649999999999999</v>
      </c>
      <c r="G48" s="14">
        <v>131.57</v>
      </c>
      <c r="H48" s="15">
        <v>6.6269999999999998</v>
      </c>
      <c r="I48" s="13">
        <v>69.266249999999999</v>
      </c>
      <c r="J48" s="14">
        <v>463.78424999999999</v>
      </c>
      <c r="K48" s="15">
        <v>5.1464999999999996</v>
      </c>
      <c r="L48" s="13">
        <v>67.22175</v>
      </c>
      <c r="M48" s="14">
        <v>145.37100000000001</v>
      </c>
      <c r="N48" s="107"/>
      <c r="O48" s="108"/>
      <c r="P48" s="108"/>
      <c r="Q48" s="109"/>
    </row>
    <row r="49" spans="1:17" x14ac:dyDescent="0.25">
      <c r="A49" s="110"/>
      <c r="B49" s="110" t="s">
        <v>61</v>
      </c>
      <c r="C49" s="5" t="s">
        <v>59</v>
      </c>
      <c r="D49" s="12">
        <v>1.0469999999999999</v>
      </c>
      <c r="E49" s="13">
        <v>1.97</v>
      </c>
      <c r="F49" s="13">
        <v>13.96</v>
      </c>
      <c r="G49" s="14">
        <v>115.99</v>
      </c>
      <c r="H49" s="15">
        <v>2.0625899999999997</v>
      </c>
      <c r="I49" s="13">
        <v>14.61612</v>
      </c>
      <c r="J49" s="14">
        <v>121.44152999999999</v>
      </c>
      <c r="K49" s="15">
        <v>1.6228499999999999</v>
      </c>
      <c r="L49" s="13">
        <v>14.00886</v>
      </c>
      <c r="M49" s="14">
        <v>26.866019999999999</v>
      </c>
      <c r="N49" s="107">
        <f>(D50-D49)/D49</f>
        <v>0.50620821394460369</v>
      </c>
      <c r="O49" s="108">
        <f t="shared" ref="O49:Q49" si="17">(K50-K49)/K49</f>
        <v>0.47705579690051464</v>
      </c>
      <c r="P49" s="108">
        <f t="shared" si="17"/>
        <v>0.49720248471324574</v>
      </c>
      <c r="Q49" s="109">
        <f t="shared" si="17"/>
        <v>0.64473710657551808</v>
      </c>
    </row>
    <row r="50" spans="1:17" x14ac:dyDescent="0.25">
      <c r="A50" s="110"/>
      <c r="B50" s="110"/>
      <c r="C50" s="5" t="s">
        <v>62</v>
      </c>
      <c r="D50" s="12">
        <v>1.577</v>
      </c>
      <c r="E50" s="13">
        <v>1.94</v>
      </c>
      <c r="F50" s="13">
        <v>13.88</v>
      </c>
      <c r="G50" s="14">
        <v>118.34</v>
      </c>
      <c r="H50" s="15">
        <v>3.05938</v>
      </c>
      <c r="I50" s="13">
        <v>21.888760000000001</v>
      </c>
      <c r="J50" s="14">
        <v>186.62218000000001</v>
      </c>
      <c r="K50" s="15">
        <v>2.3970400000000001</v>
      </c>
      <c r="L50" s="13">
        <v>20.9741</v>
      </c>
      <c r="M50" s="14">
        <v>44.187539999999998</v>
      </c>
      <c r="N50" s="107"/>
      <c r="O50" s="108"/>
      <c r="P50" s="108"/>
      <c r="Q50" s="109"/>
    </row>
    <row r="51" spans="1:17" x14ac:dyDescent="0.25">
      <c r="A51" s="110" t="s">
        <v>16</v>
      </c>
      <c r="B51" s="110" t="s">
        <v>60</v>
      </c>
      <c r="C51" s="5" t="s">
        <v>59</v>
      </c>
      <c r="D51" s="12">
        <v>18.794</v>
      </c>
      <c r="E51" s="13">
        <v>1.87</v>
      </c>
      <c r="F51" s="13">
        <v>22.12</v>
      </c>
      <c r="G51" s="14">
        <v>140.11000000000001</v>
      </c>
      <c r="H51" s="15">
        <v>35.144780000000004</v>
      </c>
      <c r="I51" s="13">
        <v>415.72328000000005</v>
      </c>
      <c r="J51" s="14">
        <v>2633.2273400000004</v>
      </c>
      <c r="K51" s="15">
        <v>27.251300000000001</v>
      </c>
      <c r="L51" s="13">
        <v>404.82276000000002</v>
      </c>
      <c r="M51" s="14">
        <v>900.23260000000005</v>
      </c>
      <c r="N51" s="107">
        <f>(D52-D51)/D51</f>
        <v>-0.18245184633393638</v>
      </c>
      <c r="O51" s="108">
        <f t="shared" ref="O51:Q51" si="18">(K52-K51)/K51</f>
        <v>-0.18245184633393632</v>
      </c>
      <c r="P51" s="108">
        <f t="shared" si="18"/>
        <v>-0.19080192032681173</v>
      </c>
      <c r="Q51" s="109">
        <f t="shared" si="18"/>
        <v>-0.18996168323608817</v>
      </c>
    </row>
    <row r="52" spans="1:17" x14ac:dyDescent="0.25">
      <c r="A52" s="110"/>
      <c r="B52" s="110"/>
      <c r="C52" s="5" t="s">
        <v>62</v>
      </c>
      <c r="D52" s="12">
        <v>15.365</v>
      </c>
      <c r="E52" s="13">
        <v>1.87</v>
      </c>
      <c r="F52" s="13">
        <v>21.9</v>
      </c>
      <c r="G52" s="14">
        <v>139.66</v>
      </c>
      <c r="H52" s="13">
        <v>28.732550000000003</v>
      </c>
      <c r="I52" s="13">
        <v>336.49349999999998</v>
      </c>
      <c r="J52" s="13">
        <v>2145.8759</v>
      </c>
      <c r="K52" s="15">
        <v>22.279250000000001</v>
      </c>
      <c r="L52" s="13">
        <v>327.58179999999999</v>
      </c>
      <c r="M52" s="14">
        <v>729.22289999999998</v>
      </c>
      <c r="N52" s="107"/>
      <c r="O52" s="108"/>
      <c r="P52" s="108"/>
      <c r="Q52" s="109"/>
    </row>
    <row r="53" spans="1:17" x14ac:dyDescent="0.25">
      <c r="A53" s="110"/>
      <c r="B53" s="110" t="s">
        <v>61</v>
      </c>
      <c r="C53" s="5" t="s">
        <v>59</v>
      </c>
      <c r="D53" s="12">
        <v>4.7300000000000004</v>
      </c>
      <c r="E53" s="13">
        <v>1.89</v>
      </c>
      <c r="F53" s="13">
        <v>20.23</v>
      </c>
      <c r="G53" s="14">
        <v>133</v>
      </c>
      <c r="H53" s="15">
        <v>8.9397000000000002</v>
      </c>
      <c r="I53" s="13">
        <v>95.687900000000013</v>
      </c>
      <c r="J53" s="14">
        <v>629.09</v>
      </c>
      <c r="K53" s="15">
        <v>6.9531000000000001</v>
      </c>
      <c r="L53" s="13">
        <v>92.944500000000005</v>
      </c>
      <c r="M53" s="14">
        <v>192.98400000000001</v>
      </c>
      <c r="N53" s="107">
        <f>(D54-D53)/D53</f>
        <v>-0.22219873150105718</v>
      </c>
      <c r="O53" s="108">
        <f t="shared" ref="O53:Q53" si="19">(K54-K53)/K53</f>
        <v>-0.21690756640922759</v>
      </c>
      <c r="P53" s="108">
        <f t="shared" si="19"/>
        <v>-0.25069831996514058</v>
      </c>
      <c r="Q53" s="109">
        <f t="shared" si="19"/>
        <v>-0.24717225262197898</v>
      </c>
    </row>
    <row r="54" spans="1:17" x14ac:dyDescent="0.25">
      <c r="A54" s="110"/>
      <c r="B54" s="110"/>
      <c r="C54" s="5" t="s">
        <v>62</v>
      </c>
      <c r="D54" s="12">
        <v>3.6789999999999998</v>
      </c>
      <c r="E54" s="13">
        <v>1.9</v>
      </c>
      <c r="F54" s="13">
        <v>19.510000000000002</v>
      </c>
      <c r="G54" s="14">
        <v>131.69999999999999</v>
      </c>
      <c r="H54" s="13">
        <v>6.9900999999999991</v>
      </c>
      <c r="I54" s="13">
        <v>71.777290000000008</v>
      </c>
      <c r="J54" s="13">
        <v>484.52429999999993</v>
      </c>
      <c r="K54" s="15">
        <v>5.4449199999999998</v>
      </c>
      <c r="L54" s="13">
        <v>69.643469999999994</v>
      </c>
      <c r="M54" s="14">
        <v>145.28371000000001</v>
      </c>
      <c r="N54" s="107"/>
      <c r="O54" s="108"/>
      <c r="P54" s="108"/>
      <c r="Q54" s="109"/>
    </row>
    <row r="55" spans="1:17" x14ac:dyDescent="0.25">
      <c r="A55" s="110" t="s">
        <v>17</v>
      </c>
      <c r="B55" s="110" t="s">
        <v>60</v>
      </c>
      <c r="C55" s="5" t="s">
        <v>59</v>
      </c>
      <c r="D55" s="12">
        <v>18.321999999999999</v>
      </c>
      <c r="E55" s="13">
        <v>1.98</v>
      </c>
      <c r="F55" s="13">
        <v>23.81</v>
      </c>
      <c r="G55" s="14">
        <v>143.97999999999999</v>
      </c>
      <c r="H55" s="13">
        <v>36.277560000000001</v>
      </c>
      <c r="I55" s="13">
        <v>436.24681999999996</v>
      </c>
      <c r="J55" s="13">
        <v>2638.0015599999997</v>
      </c>
      <c r="K55" s="15">
        <v>32.979599999999998</v>
      </c>
      <c r="L55" s="13">
        <v>425.62005999999997</v>
      </c>
      <c r="M55" s="14">
        <v>946.51451999999995</v>
      </c>
      <c r="N55" s="107">
        <f>(D56-D55)/D55</f>
        <v>3.2856675035476492E-2</v>
      </c>
      <c r="O55" s="108">
        <f t="shared" ref="O55:Q55" si="20">(K56-K55)/K55</f>
        <v>3.2856675035476603E-2</v>
      </c>
      <c r="P55" s="108">
        <f t="shared" si="20"/>
        <v>-2.0053331132935795E-2</v>
      </c>
      <c r="Q55" s="109">
        <f t="shared" si="20"/>
        <v>-1.7318276321846176E-3</v>
      </c>
    </row>
    <row r="56" spans="1:17" x14ac:dyDescent="0.25">
      <c r="A56" s="110"/>
      <c r="B56" s="110"/>
      <c r="C56" s="5" t="s">
        <v>62</v>
      </c>
      <c r="D56" s="12">
        <v>18.923999999999999</v>
      </c>
      <c r="E56" s="13">
        <v>1.98</v>
      </c>
      <c r="F56" s="13">
        <v>22.62</v>
      </c>
      <c r="G56" s="14">
        <v>142.26</v>
      </c>
      <c r="H56" s="15">
        <v>37.469519999999996</v>
      </c>
      <c r="I56" s="13">
        <v>428.06088</v>
      </c>
      <c r="J56" s="14">
        <v>2692.1282399999996</v>
      </c>
      <c r="K56" s="15">
        <v>34.063200000000002</v>
      </c>
      <c r="L56" s="13">
        <v>417.08495999999997</v>
      </c>
      <c r="M56" s="14">
        <v>944.87531999999999</v>
      </c>
      <c r="N56" s="107"/>
      <c r="O56" s="108"/>
      <c r="P56" s="108"/>
      <c r="Q56" s="109"/>
    </row>
    <row r="57" spans="1:17" x14ac:dyDescent="0.25">
      <c r="A57" s="110"/>
      <c r="B57" s="110" t="s">
        <v>61</v>
      </c>
      <c r="C57" s="5" t="s">
        <v>59</v>
      </c>
      <c r="D57" s="12">
        <v>5.2549999999999999</v>
      </c>
      <c r="E57" s="13">
        <v>1.99</v>
      </c>
      <c r="F57" s="13">
        <v>22.18</v>
      </c>
      <c r="G57" s="14">
        <v>137.72999999999999</v>
      </c>
      <c r="H57" s="13">
        <v>10.45745</v>
      </c>
      <c r="I57" s="13">
        <v>116.55589999999999</v>
      </c>
      <c r="J57" s="13">
        <v>723.77114999999992</v>
      </c>
      <c r="K57" s="15">
        <v>9.5115499999999997</v>
      </c>
      <c r="L57" s="13">
        <v>113.50800000000001</v>
      </c>
      <c r="M57" s="14">
        <v>238.577</v>
      </c>
      <c r="N57" s="107">
        <f>(D58-D57)/D57</f>
        <v>-0.79333967649857273</v>
      </c>
      <c r="O57" s="108">
        <f t="shared" ref="O57:Q57" si="21">(K58-K57)/K57</f>
        <v>-0.78078020932445291</v>
      </c>
      <c r="P57" s="108">
        <f t="shared" si="21"/>
        <v>-0.87571677767205836</v>
      </c>
      <c r="Q57" s="109">
        <f t="shared" si="21"/>
        <v>-0.89011497336289758</v>
      </c>
    </row>
    <row r="58" spans="1:17" x14ac:dyDescent="0.25">
      <c r="A58" s="110"/>
      <c r="B58" s="110"/>
      <c r="C58" s="5" t="s">
        <v>62</v>
      </c>
      <c r="D58" s="12">
        <v>1.0860000000000001</v>
      </c>
      <c r="E58" s="13">
        <v>2.1</v>
      </c>
      <c r="F58" s="13">
        <v>13.57</v>
      </c>
      <c r="G58" s="14">
        <v>116.47</v>
      </c>
      <c r="H58" s="15">
        <v>2.2806000000000002</v>
      </c>
      <c r="I58" s="13">
        <v>14.737020000000001</v>
      </c>
      <c r="J58" s="14">
        <v>126.48642000000001</v>
      </c>
      <c r="K58" s="15">
        <v>2.0851199999999999</v>
      </c>
      <c r="L58" s="13">
        <v>14.107140000000001</v>
      </c>
      <c r="M58" s="14">
        <v>26.216040000000003</v>
      </c>
      <c r="N58" s="107"/>
      <c r="O58" s="108"/>
      <c r="P58" s="108"/>
      <c r="Q58" s="109"/>
    </row>
    <row r="59" spans="1:17" x14ac:dyDescent="0.25">
      <c r="A59" s="110" t="s">
        <v>20</v>
      </c>
      <c r="B59" s="110" t="s">
        <v>60</v>
      </c>
      <c r="C59" s="5" t="s">
        <v>59</v>
      </c>
      <c r="D59" s="12">
        <v>7.3109999999999999</v>
      </c>
      <c r="E59" s="13">
        <v>1.92</v>
      </c>
      <c r="F59" s="13">
        <v>22.46</v>
      </c>
      <c r="G59" s="14">
        <v>140.38999999999999</v>
      </c>
      <c r="H59" s="15">
        <v>14.03712</v>
      </c>
      <c r="I59" s="13">
        <v>164.20506</v>
      </c>
      <c r="J59" s="14">
        <v>1026.3912899999998</v>
      </c>
      <c r="K59" s="15">
        <v>10.9665</v>
      </c>
      <c r="L59" s="13">
        <v>159.96467999999999</v>
      </c>
      <c r="M59" s="14">
        <v>344.20187999999996</v>
      </c>
      <c r="N59" s="107">
        <f>(D60-D59)/D59</f>
        <v>0.93776501162631654</v>
      </c>
      <c r="O59" s="108">
        <f t="shared" ref="O59:Q59" si="22">(K60-K59)/K59</f>
        <v>0.91192814480463225</v>
      </c>
      <c r="P59" s="108">
        <f t="shared" si="22"/>
        <v>0.95547767169602682</v>
      </c>
      <c r="Q59" s="109">
        <f t="shared" si="22"/>
        <v>1.0155554931890554</v>
      </c>
    </row>
    <row r="60" spans="1:17" x14ac:dyDescent="0.25">
      <c r="A60" s="110"/>
      <c r="B60" s="110"/>
      <c r="C60" s="5" t="s">
        <v>62</v>
      </c>
      <c r="D60" s="12">
        <v>14.167</v>
      </c>
      <c r="E60" s="13">
        <v>1.9</v>
      </c>
      <c r="F60" s="13">
        <v>22.66</v>
      </c>
      <c r="G60" s="14">
        <v>142.28</v>
      </c>
      <c r="H60" s="15">
        <v>26.917299999999997</v>
      </c>
      <c r="I60" s="13">
        <v>321.02422000000001</v>
      </c>
      <c r="J60" s="14">
        <v>2015.68076</v>
      </c>
      <c r="K60" s="15">
        <v>20.96716</v>
      </c>
      <c r="L60" s="13">
        <v>312.80735999999996</v>
      </c>
      <c r="M60" s="14">
        <v>693.75798999999995</v>
      </c>
      <c r="N60" s="107"/>
      <c r="O60" s="108"/>
      <c r="P60" s="108"/>
      <c r="Q60" s="109"/>
    </row>
    <row r="61" spans="1:17" x14ac:dyDescent="0.25">
      <c r="A61" s="110"/>
      <c r="B61" s="110" t="s">
        <v>61</v>
      </c>
      <c r="C61" s="5" t="s">
        <v>59</v>
      </c>
      <c r="D61" s="12">
        <v>1.57</v>
      </c>
      <c r="E61" s="13">
        <v>1.97</v>
      </c>
      <c r="F61" s="13">
        <v>12.6</v>
      </c>
      <c r="G61" s="14">
        <v>116.2</v>
      </c>
      <c r="H61" s="15">
        <v>3.0929000000000002</v>
      </c>
      <c r="I61" s="13">
        <v>19.782</v>
      </c>
      <c r="J61" s="14">
        <v>182.434</v>
      </c>
      <c r="K61" s="15">
        <v>2.4335</v>
      </c>
      <c r="L61" s="13">
        <v>18.871400000000001</v>
      </c>
      <c r="M61" s="14">
        <v>35.9373</v>
      </c>
      <c r="N61" s="107">
        <f>(D62-D61)/D61</f>
        <v>-0.19681528662420392</v>
      </c>
      <c r="O61" s="108">
        <f t="shared" ref="O61:Q61" si="23">(K62-K61)/K61</f>
        <v>-0.18645161290322579</v>
      </c>
      <c r="P61" s="108">
        <f t="shared" si="23"/>
        <v>-5.5823627287853617E-2</v>
      </c>
      <c r="Q61" s="109">
        <f t="shared" si="23"/>
        <v>-6.3477501092180033E-2</v>
      </c>
    </row>
    <row r="62" spans="1:17" x14ac:dyDescent="0.25">
      <c r="A62" s="110"/>
      <c r="B62" s="110"/>
      <c r="C62" s="5" t="s">
        <v>62</v>
      </c>
      <c r="D62" s="12">
        <v>1.2609999999999999</v>
      </c>
      <c r="E62" s="13">
        <v>1.99</v>
      </c>
      <c r="F62" s="13">
        <v>14.71</v>
      </c>
      <c r="G62" s="14">
        <v>120</v>
      </c>
      <c r="H62" s="15">
        <v>2.5093899999999998</v>
      </c>
      <c r="I62" s="13">
        <v>18.549309999999998</v>
      </c>
      <c r="J62" s="14">
        <v>151.32</v>
      </c>
      <c r="K62" s="15">
        <v>1.97977</v>
      </c>
      <c r="L62" s="13">
        <v>17.81793</v>
      </c>
      <c r="M62" s="14">
        <v>33.656089999999999</v>
      </c>
      <c r="N62" s="107"/>
      <c r="O62" s="108"/>
      <c r="P62" s="108"/>
      <c r="Q62" s="109"/>
    </row>
    <row r="63" spans="1:17" x14ac:dyDescent="0.25">
      <c r="A63" s="110" t="s">
        <v>21</v>
      </c>
      <c r="B63" s="110" t="s">
        <v>60</v>
      </c>
      <c r="C63" s="5" t="s">
        <v>59</v>
      </c>
      <c r="D63" s="12">
        <v>1.0469999999999999</v>
      </c>
      <c r="E63" s="13">
        <v>1.98</v>
      </c>
      <c r="F63" s="13">
        <v>7.92</v>
      </c>
      <c r="G63" s="14">
        <v>105.06</v>
      </c>
      <c r="H63" s="15">
        <v>2.0730599999999999</v>
      </c>
      <c r="I63" s="13">
        <v>8.2922399999999996</v>
      </c>
      <c r="J63" s="14">
        <v>109.99781999999999</v>
      </c>
      <c r="K63" s="15">
        <v>1.6333199999999999</v>
      </c>
      <c r="L63" s="13">
        <v>7.6849799999999995</v>
      </c>
      <c r="M63" s="14">
        <v>14.343899999999998</v>
      </c>
      <c r="N63" s="107">
        <f>(D64-D63)/D63</f>
        <v>0</v>
      </c>
      <c r="O63" s="108">
        <f t="shared" ref="O63:Q63" si="24">(K64-K63)/K63</f>
        <v>6.4102564102563979E-3</v>
      </c>
      <c r="P63" s="108">
        <f t="shared" si="24"/>
        <v>1.4986376021798366E-2</v>
      </c>
      <c r="Q63" s="109">
        <f t="shared" si="24"/>
        <v>-3.0656934306569256E-2</v>
      </c>
    </row>
    <row r="64" spans="1:17" x14ac:dyDescent="0.25">
      <c r="A64" s="110"/>
      <c r="B64" s="110"/>
      <c r="C64" s="5" t="s">
        <v>62</v>
      </c>
      <c r="D64" s="12">
        <v>1.0469999999999999</v>
      </c>
      <c r="E64" s="13">
        <v>1.99</v>
      </c>
      <c r="F64" s="13">
        <v>8.0299999999999994</v>
      </c>
      <c r="G64" s="14">
        <v>104.64</v>
      </c>
      <c r="H64" s="15">
        <v>2.0835299999999997</v>
      </c>
      <c r="I64" s="13">
        <v>8.4074099999999987</v>
      </c>
      <c r="J64" s="14">
        <v>109.55807999999999</v>
      </c>
      <c r="K64" s="15">
        <v>1.6437899999999999</v>
      </c>
      <c r="L64" s="13">
        <v>7.8001499999999995</v>
      </c>
      <c r="M64" s="14">
        <v>13.904159999999999</v>
      </c>
      <c r="N64" s="107"/>
      <c r="O64" s="108"/>
      <c r="P64" s="108"/>
      <c r="Q64" s="109"/>
    </row>
    <row r="65" spans="1:17" x14ac:dyDescent="0.25">
      <c r="A65" s="110"/>
      <c r="B65" s="110" t="s">
        <v>61</v>
      </c>
      <c r="C65" s="5" t="s">
        <v>59</v>
      </c>
      <c r="D65" s="12">
        <v>0.52400000000000002</v>
      </c>
      <c r="E65" s="13">
        <v>2.1</v>
      </c>
      <c r="F65" s="13">
        <v>7.88</v>
      </c>
      <c r="G65" s="14">
        <v>103.66</v>
      </c>
      <c r="H65" s="15">
        <v>1.1004</v>
      </c>
      <c r="I65" s="13">
        <v>4.1291200000000003</v>
      </c>
      <c r="J65" s="14">
        <v>54.317840000000004</v>
      </c>
      <c r="K65" s="15">
        <v>0.88031999999999999</v>
      </c>
      <c r="L65" s="13">
        <v>3.8252000000000002</v>
      </c>
      <c r="M65" s="14">
        <v>6.4452000000000007</v>
      </c>
      <c r="N65" s="107">
        <f>(D66-D65)/D65</f>
        <v>-1.9083969465648872E-3</v>
      </c>
      <c r="O65" s="108">
        <f t="shared" ref="O65:Q65" si="25">(K66-K65)/K65</f>
        <v>-1.9083969465649023E-3</v>
      </c>
      <c r="P65" s="108">
        <f t="shared" si="25"/>
        <v>1.3131339537801944E-2</v>
      </c>
      <c r="Q65" s="109">
        <f t="shared" si="25"/>
        <v>4.8401911500030891E-2</v>
      </c>
    </row>
    <row r="66" spans="1:17" x14ac:dyDescent="0.25">
      <c r="A66" s="110"/>
      <c r="B66" s="110"/>
      <c r="C66" s="5" t="s">
        <v>62</v>
      </c>
      <c r="D66" s="12">
        <v>0.52300000000000002</v>
      </c>
      <c r="E66" s="13">
        <v>2.1</v>
      </c>
      <c r="F66" s="13">
        <v>7.99</v>
      </c>
      <c r="G66" s="14">
        <v>104.28</v>
      </c>
      <c r="H66" s="15">
        <v>1.0983000000000001</v>
      </c>
      <c r="I66" s="13">
        <v>4.1787700000000001</v>
      </c>
      <c r="J66" s="14">
        <v>54.538440000000001</v>
      </c>
      <c r="K66" s="15">
        <v>0.87863999999999998</v>
      </c>
      <c r="L66" s="13">
        <v>3.8754300000000002</v>
      </c>
      <c r="M66" s="14">
        <v>6.7571599999999998</v>
      </c>
      <c r="N66" s="107"/>
      <c r="O66" s="108"/>
      <c r="P66" s="108"/>
      <c r="Q66" s="109"/>
    </row>
    <row r="67" spans="1:17" x14ac:dyDescent="0.25">
      <c r="A67" s="110" t="s">
        <v>23</v>
      </c>
      <c r="B67" s="110" t="s">
        <v>60</v>
      </c>
      <c r="C67" s="5" t="s">
        <v>59</v>
      </c>
      <c r="D67" s="12">
        <v>16.071000000000002</v>
      </c>
      <c r="E67" s="13">
        <v>3.2</v>
      </c>
      <c r="F67" s="13">
        <v>26.65</v>
      </c>
      <c r="G67" s="14">
        <v>153.38</v>
      </c>
      <c r="H67" s="15">
        <v>51.427200000000006</v>
      </c>
      <c r="I67" s="13">
        <v>428.29214999999999</v>
      </c>
      <c r="J67" s="14">
        <v>2464.9699800000003</v>
      </c>
      <c r="K67" s="15">
        <v>44.677379999999999</v>
      </c>
      <c r="L67" s="13">
        <v>418.97097000000002</v>
      </c>
      <c r="M67" s="14">
        <v>978.72390000000007</v>
      </c>
      <c r="N67" s="107">
        <f>(D68-D67)/D67</f>
        <v>1.0159915375521125</v>
      </c>
      <c r="O67" s="108">
        <f t="shared" ref="O67:Q67" si="26">(K68-K67)/K67</f>
        <v>0.92897032010382008</v>
      </c>
      <c r="P67" s="108">
        <f t="shared" si="26"/>
        <v>1.1126539626361227</v>
      </c>
      <c r="Q67" s="109">
        <f t="shared" si="26"/>
        <v>1.1301979547040795</v>
      </c>
    </row>
    <row r="68" spans="1:17" x14ac:dyDescent="0.25">
      <c r="A68" s="110"/>
      <c r="B68" s="110"/>
      <c r="C68" s="5" t="s">
        <v>62</v>
      </c>
      <c r="D68" s="12">
        <v>32.399000000000001</v>
      </c>
      <c r="E68" s="13">
        <v>3.08</v>
      </c>
      <c r="F68" s="13">
        <v>27.9</v>
      </c>
      <c r="G68" s="14">
        <v>156.83000000000001</v>
      </c>
      <c r="H68" s="15">
        <v>99.788920000000005</v>
      </c>
      <c r="I68" s="13">
        <v>903.93209999999999</v>
      </c>
      <c r="J68" s="14">
        <v>5081.1351700000005</v>
      </c>
      <c r="K68" s="15">
        <v>86.181340000000006</v>
      </c>
      <c r="L68" s="13">
        <v>885.14068000000009</v>
      </c>
      <c r="M68" s="14">
        <v>2084.87565</v>
      </c>
      <c r="N68" s="107"/>
      <c r="O68" s="108"/>
      <c r="P68" s="108"/>
      <c r="Q68" s="109"/>
    </row>
    <row r="69" spans="1:17" x14ac:dyDescent="0.25">
      <c r="A69" s="110"/>
      <c r="B69" s="110" t="s">
        <v>61</v>
      </c>
      <c r="C69" s="5" t="s">
        <v>59</v>
      </c>
      <c r="D69" s="12">
        <v>12.554</v>
      </c>
      <c r="E69" s="13">
        <v>3.43</v>
      </c>
      <c r="F69" s="13">
        <v>26.44</v>
      </c>
      <c r="G69" s="14">
        <v>152.75</v>
      </c>
      <c r="H69" s="15">
        <v>43.060220000000001</v>
      </c>
      <c r="I69" s="13">
        <v>331.92776000000003</v>
      </c>
      <c r="J69" s="14">
        <v>1917.6235000000001</v>
      </c>
      <c r="K69" s="15">
        <v>37.78754</v>
      </c>
      <c r="L69" s="13">
        <v>324.64643999999998</v>
      </c>
      <c r="M69" s="14">
        <v>756.50404000000003</v>
      </c>
      <c r="N69" s="107">
        <f>(D70-D69)/D69</f>
        <v>1.0924008284212203</v>
      </c>
      <c r="O69" s="108">
        <f t="shared" ref="O69:Q69" si="27">(K70-K69)/K69</f>
        <v>0.98812836188860143</v>
      </c>
      <c r="P69" s="108">
        <f t="shared" si="27"/>
        <v>1.2145789123700237</v>
      </c>
      <c r="Q69" s="109">
        <f t="shared" si="27"/>
        <v>1.2722653536655271</v>
      </c>
    </row>
    <row r="70" spans="1:17" x14ac:dyDescent="0.25">
      <c r="A70" s="110"/>
      <c r="B70" s="110"/>
      <c r="C70" s="5" t="s">
        <v>62</v>
      </c>
      <c r="D70" s="12">
        <v>26.268000000000001</v>
      </c>
      <c r="E70" s="13">
        <v>3.28</v>
      </c>
      <c r="F70" s="13">
        <v>27.95</v>
      </c>
      <c r="G70" s="14">
        <v>157.93</v>
      </c>
      <c r="H70" s="15">
        <v>86.15903999999999</v>
      </c>
      <c r="I70" s="13">
        <v>734.19060000000002</v>
      </c>
      <c r="J70" s="14">
        <v>4148.5052400000004</v>
      </c>
      <c r="K70" s="15">
        <v>75.126480000000001</v>
      </c>
      <c r="L70" s="13">
        <v>718.95516000000009</v>
      </c>
      <c r="M70" s="14">
        <v>1718.97792</v>
      </c>
      <c r="N70" s="107"/>
      <c r="O70" s="108"/>
      <c r="P70" s="108"/>
      <c r="Q70" s="109"/>
    </row>
    <row r="71" spans="1:17" x14ac:dyDescent="0.25">
      <c r="A71" s="110" t="s">
        <v>25</v>
      </c>
      <c r="B71" s="110" t="s">
        <v>60</v>
      </c>
      <c r="C71" s="5" t="s">
        <v>59</v>
      </c>
      <c r="D71" s="12">
        <v>1.0469999999999999</v>
      </c>
      <c r="E71" s="13">
        <v>2</v>
      </c>
      <c r="F71" s="13">
        <v>9.3699999999999992</v>
      </c>
      <c r="G71" s="14">
        <v>108.03</v>
      </c>
      <c r="H71" s="15">
        <v>2.0939999999999999</v>
      </c>
      <c r="I71" s="13">
        <v>9.8103899999999982</v>
      </c>
      <c r="J71" s="14">
        <v>113.10740999999999</v>
      </c>
      <c r="K71" s="15">
        <v>1.6542600000000001</v>
      </c>
      <c r="L71" s="13">
        <v>9.203129999999998</v>
      </c>
      <c r="M71" s="14">
        <v>18.961169999999999</v>
      </c>
      <c r="N71" s="107">
        <f>(D72-D71)/D71</f>
        <v>0</v>
      </c>
      <c r="O71" s="108">
        <f>(K72-K71)/K71</f>
        <v>-1.2658227848101375E-2</v>
      </c>
      <c r="P71" s="108">
        <f>(L72-L71)/L71</f>
        <v>-0.11831626848691675</v>
      </c>
      <c r="Q71" s="109">
        <f>(M72-M71)/M71</f>
        <v>-0.16289342904472665</v>
      </c>
    </row>
    <row r="72" spans="1:17" x14ac:dyDescent="0.25">
      <c r="A72" s="110"/>
      <c r="B72" s="110"/>
      <c r="C72" s="5" t="s">
        <v>62</v>
      </c>
      <c r="D72" s="12">
        <v>1.0469999999999999</v>
      </c>
      <c r="E72" s="13">
        <v>1.98</v>
      </c>
      <c r="F72" s="13">
        <v>8.32</v>
      </c>
      <c r="G72" s="14">
        <v>105.09</v>
      </c>
      <c r="H72" s="15">
        <v>2.0730599999999999</v>
      </c>
      <c r="I72" s="13">
        <v>8.7110400000000006</v>
      </c>
      <c r="J72" s="14">
        <v>110.02923</v>
      </c>
      <c r="K72" s="15">
        <v>1.6333199999999999</v>
      </c>
      <c r="L72" s="13">
        <v>8.1142500000000002</v>
      </c>
      <c r="M72" s="14">
        <v>15.87252</v>
      </c>
      <c r="N72" s="107"/>
      <c r="O72" s="108"/>
      <c r="P72" s="108"/>
      <c r="Q72" s="109"/>
    </row>
    <row r="73" spans="1:17" x14ac:dyDescent="0.25">
      <c r="A73" s="110"/>
      <c r="B73" s="110" t="s">
        <v>61</v>
      </c>
      <c r="C73" s="5" t="s">
        <v>59</v>
      </c>
      <c r="D73" s="12">
        <v>0.52400000000000002</v>
      </c>
      <c r="E73" s="13">
        <v>2.11</v>
      </c>
      <c r="F73" s="13">
        <v>8.01</v>
      </c>
      <c r="G73" s="14">
        <v>103.56</v>
      </c>
      <c r="H73" s="15">
        <v>1.10564</v>
      </c>
      <c r="I73" s="13">
        <v>4.1972399999999999</v>
      </c>
      <c r="J73" s="14">
        <v>54.265440000000005</v>
      </c>
      <c r="K73" s="15">
        <v>0.88556000000000001</v>
      </c>
      <c r="L73" s="13">
        <v>3.8933200000000001</v>
      </c>
      <c r="M73" s="14">
        <v>7.1421200000000011</v>
      </c>
      <c r="N73" s="107">
        <f>(D74-D73)/D73</f>
        <v>0</v>
      </c>
      <c r="O73" s="108">
        <f t="shared" ref="O73:Q73" si="28">(K74-K73)/K73</f>
        <v>0</v>
      </c>
      <c r="P73" s="108">
        <f t="shared" si="28"/>
        <v>-2.6917900403768051E-3</v>
      </c>
      <c r="Q73" s="109">
        <f t="shared" si="28"/>
        <v>6.6764490095377604E-2</v>
      </c>
    </row>
    <row r="74" spans="1:17" x14ac:dyDescent="0.25">
      <c r="A74" s="110"/>
      <c r="B74" s="110"/>
      <c r="C74" s="5" t="s">
        <v>62</v>
      </c>
      <c r="D74" s="12">
        <v>0.52400000000000002</v>
      </c>
      <c r="E74" s="13">
        <v>2.11</v>
      </c>
      <c r="F74" s="13">
        <v>7.99</v>
      </c>
      <c r="G74" s="14">
        <v>104.47</v>
      </c>
      <c r="H74" s="15">
        <v>1.10564</v>
      </c>
      <c r="I74" s="13">
        <v>4.1867600000000005</v>
      </c>
      <c r="J74" s="14">
        <v>54.742280000000001</v>
      </c>
      <c r="K74" s="15">
        <v>0.88556000000000001</v>
      </c>
      <c r="L74" s="13">
        <v>3.8828400000000003</v>
      </c>
      <c r="M74" s="14">
        <v>7.6189599999999995</v>
      </c>
      <c r="N74" s="107"/>
      <c r="O74" s="108"/>
      <c r="P74" s="108"/>
      <c r="Q74" s="109"/>
    </row>
    <row r="75" spans="1:17" x14ac:dyDescent="0.25">
      <c r="A75" s="110" t="s">
        <v>26</v>
      </c>
      <c r="B75" s="110" t="s">
        <v>60</v>
      </c>
      <c r="C75" s="5" t="s">
        <v>59</v>
      </c>
      <c r="D75" s="12">
        <v>1.012</v>
      </c>
      <c r="E75" s="13">
        <v>2.0299999999999998</v>
      </c>
      <c r="F75" s="13">
        <v>13.38</v>
      </c>
      <c r="G75" s="14">
        <v>114.18</v>
      </c>
      <c r="H75" s="15">
        <v>2.05436</v>
      </c>
      <c r="I75" s="13">
        <v>13.540560000000001</v>
      </c>
      <c r="J75" s="14">
        <v>115.55016000000001</v>
      </c>
      <c r="K75" s="15">
        <v>1.6293200000000001</v>
      </c>
      <c r="L75" s="13">
        <v>12.953600000000002</v>
      </c>
      <c r="M75" s="14">
        <v>24.97616</v>
      </c>
      <c r="N75" s="107">
        <f>(D76-D75)/D75</f>
        <v>3.4584980237154068E-2</v>
      </c>
      <c r="O75" s="108">
        <f t="shared" ref="O75:Q75" si="29">(K76-K75)/K75</f>
        <v>2.8158986571084819E-2</v>
      </c>
      <c r="P75" s="108">
        <f t="shared" si="29"/>
        <v>3.0624691205531607E-3</v>
      </c>
      <c r="Q75" s="109">
        <f t="shared" si="29"/>
        <v>3.7100178730437194E-2</v>
      </c>
    </row>
    <row r="76" spans="1:17" x14ac:dyDescent="0.25">
      <c r="A76" s="110"/>
      <c r="B76" s="110"/>
      <c r="C76" s="5" t="s">
        <v>62</v>
      </c>
      <c r="D76" s="12">
        <v>1.0469999999999999</v>
      </c>
      <c r="E76" s="13">
        <v>2.02</v>
      </c>
      <c r="F76" s="13">
        <v>12.99</v>
      </c>
      <c r="G76" s="14">
        <v>114.23</v>
      </c>
      <c r="H76" s="15">
        <v>2.1149399999999998</v>
      </c>
      <c r="I76" s="13">
        <v>13.600529999999999</v>
      </c>
      <c r="J76" s="14">
        <v>119.59881</v>
      </c>
      <c r="K76" s="15">
        <v>1.6752</v>
      </c>
      <c r="L76" s="13">
        <v>12.993269999999999</v>
      </c>
      <c r="M76" s="14">
        <v>25.902779999999996</v>
      </c>
      <c r="N76" s="107"/>
      <c r="O76" s="108"/>
      <c r="P76" s="108"/>
      <c r="Q76" s="109"/>
    </row>
    <row r="77" spans="1:17" x14ac:dyDescent="0.25">
      <c r="A77" s="110"/>
      <c r="B77" s="110" t="s">
        <v>61</v>
      </c>
      <c r="C77" s="5" t="s">
        <v>59</v>
      </c>
      <c r="D77" s="12">
        <v>1.0469999999999999</v>
      </c>
      <c r="E77" s="13">
        <v>2.0299999999999998</v>
      </c>
      <c r="F77" s="13">
        <v>10.34</v>
      </c>
      <c r="G77" s="14">
        <v>108.91</v>
      </c>
      <c r="H77" s="15">
        <v>2.1254099999999996</v>
      </c>
      <c r="I77" s="13">
        <v>10.825979999999999</v>
      </c>
      <c r="J77" s="14">
        <v>114.02876999999999</v>
      </c>
      <c r="K77" s="15">
        <v>1.68567</v>
      </c>
      <c r="L77" s="13">
        <v>10.218719999999999</v>
      </c>
      <c r="M77" s="14">
        <v>20.332740000000001</v>
      </c>
      <c r="N77" s="107">
        <f>(D78-D77)/D77</f>
        <v>0</v>
      </c>
      <c r="O77" s="108">
        <f t="shared" ref="O77:Q77" si="30">(K78-K77)/K77</f>
        <v>0</v>
      </c>
      <c r="P77" s="108">
        <f t="shared" si="30"/>
        <v>1.0245901639344026E-3</v>
      </c>
      <c r="Q77" s="109">
        <f t="shared" si="30"/>
        <v>5.9732234809474601E-2</v>
      </c>
    </row>
    <row r="78" spans="1:17" x14ac:dyDescent="0.25">
      <c r="A78" s="110"/>
      <c r="B78" s="110"/>
      <c r="C78" s="5" t="s">
        <v>62</v>
      </c>
      <c r="D78" s="12">
        <v>1.0469999999999999</v>
      </c>
      <c r="E78" s="13">
        <v>2.0299999999999998</v>
      </c>
      <c r="F78" s="13">
        <v>10.35</v>
      </c>
      <c r="G78" s="14">
        <v>110.07</v>
      </c>
      <c r="H78" s="15">
        <v>2.1254099999999996</v>
      </c>
      <c r="I78" s="13">
        <v>10.836449999999999</v>
      </c>
      <c r="J78" s="14">
        <v>115.24328999999999</v>
      </c>
      <c r="K78" s="15">
        <v>1.68567</v>
      </c>
      <c r="L78" s="13">
        <v>10.229189999999999</v>
      </c>
      <c r="M78" s="14">
        <v>21.547259999999998</v>
      </c>
      <c r="N78" s="107"/>
      <c r="O78" s="108"/>
      <c r="P78" s="108"/>
      <c r="Q78" s="109"/>
    </row>
    <row r="79" spans="1:17" x14ac:dyDescent="0.25">
      <c r="A79" s="110" t="s">
        <v>29</v>
      </c>
      <c r="B79" s="110" t="s">
        <v>60</v>
      </c>
      <c r="C79" s="5" t="s">
        <v>59</v>
      </c>
      <c r="D79" s="12">
        <v>4.1870000000000003</v>
      </c>
      <c r="E79" s="13">
        <v>1.89</v>
      </c>
      <c r="F79" s="13">
        <v>21.59</v>
      </c>
      <c r="G79" s="14">
        <v>136.65</v>
      </c>
      <c r="H79" s="13">
        <v>7.91343</v>
      </c>
      <c r="I79" s="13">
        <v>90.397330000000011</v>
      </c>
      <c r="J79" s="13">
        <v>572.15355000000011</v>
      </c>
      <c r="K79" s="15">
        <v>6.15489</v>
      </c>
      <c r="L79" s="13">
        <v>87.96887000000001</v>
      </c>
      <c r="M79" s="14">
        <v>178.74303</v>
      </c>
      <c r="N79" s="107">
        <f>(D80-D79)/D79</f>
        <v>4.2990207786003801E-3</v>
      </c>
      <c r="O79" s="108">
        <f t="shared" ref="O79:Q79" si="31">(K80-K79)/K79</f>
        <v>1.1130986906345987E-2</v>
      </c>
      <c r="P79" s="108">
        <f t="shared" si="31"/>
        <v>-2.6771629554864257E-2</v>
      </c>
      <c r="Q79" s="109">
        <f t="shared" si="31"/>
        <v>-4.3222272778972039E-2</v>
      </c>
    </row>
    <row r="80" spans="1:17" x14ac:dyDescent="0.25">
      <c r="A80" s="110"/>
      <c r="B80" s="110"/>
      <c r="C80" s="5" t="s">
        <v>62</v>
      </c>
      <c r="D80" s="12">
        <v>4.2050000000000001</v>
      </c>
      <c r="E80" s="13">
        <v>1.9</v>
      </c>
      <c r="F80" s="13">
        <v>20.94</v>
      </c>
      <c r="G80" s="14">
        <v>134.63999999999999</v>
      </c>
      <c r="H80" s="13">
        <v>7.9894999999999996</v>
      </c>
      <c r="I80" s="13">
        <v>88.052700000000002</v>
      </c>
      <c r="J80" s="13">
        <v>566.16120000000001</v>
      </c>
      <c r="K80" s="15">
        <v>6.2233999999999998</v>
      </c>
      <c r="L80" s="13">
        <v>85.613799999999998</v>
      </c>
      <c r="M80" s="14">
        <v>171.01735000000002</v>
      </c>
      <c r="N80" s="107"/>
      <c r="O80" s="108"/>
      <c r="P80" s="108"/>
      <c r="Q80" s="109"/>
    </row>
    <row r="81" spans="1:17" x14ac:dyDescent="0.25">
      <c r="A81" s="110"/>
      <c r="B81" s="110" t="s">
        <v>61</v>
      </c>
      <c r="C81" s="5" t="s">
        <v>59</v>
      </c>
      <c r="D81" s="12">
        <v>0.52300000000000002</v>
      </c>
      <c r="E81" s="13">
        <v>2.11</v>
      </c>
      <c r="F81" s="13">
        <v>8.02</v>
      </c>
      <c r="G81" s="14">
        <v>104.1</v>
      </c>
      <c r="H81" s="13">
        <v>1.1035299999999999</v>
      </c>
      <c r="I81" s="13">
        <v>4.1944600000000003</v>
      </c>
      <c r="J81" s="13">
        <v>54.444299999999998</v>
      </c>
      <c r="K81" s="15">
        <v>0.88387000000000004</v>
      </c>
      <c r="L81" s="13">
        <v>3.8911200000000004</v>
      </c>
      <c r="M81" s="14">
        <v>5.2979900000000004</v>
      </c>
      <c r="N81" s="107">
        <f>(D82-D81)/D81</f>
        <v>0</v>
      </c>
      <c r="O81" s="108">
        <f t="shared" ref="O81:Q81" si="32">(K82-K81)/K81</f>
        <v>0</v>
      </c>
      <c r="P81" s="108">
        <f t="shared" si="32"/>
        <v>4.0322580645160673E-3</v>
      </c>
      <c r="Q81" s="109">
        <f t="shared" si="32"/>
        <v>0.10069101678183609</v>
      </c>
    </row>
    <row r="82" spans="1:17" x14ac:dyDescent="0.25">
      <c r="A82" s="110"/>
      <c r="B82" s="110"/>
      <c r="C82" s="5" t="s">
        <v>62</v>
      </c>
      <c r="D82" s="12">
        <v>0.52300000000000002</v>
      </c>
      <c r="E82" s="13">
        <v>2.11</v>
      </c>
      <c r="F82" s="13">
        <v>8.0500000000000007</v>
      </c>
      <c r="G82" s="14">
        <v>105.12</v>
      </c>
      <c r="H82" s="13">
        <v>1.1035299999999999</v>
      </c>
      <c r="I82" s="13">
        <v>4.2101500000000005</v>
      </c>
      <c r="J82" s="13">
        <v>54.977760000000004</v>
      </c>
      <c r="K82" s="15">
        <v>0.88387000000000004</v>
      </c>
      <c r="L82" s="13">
        <v>3.9068100000000001</v>
      </c>
      <c r="M82" s="14">
        <v>5.8314500000000002</v>
      </c>
      <c r="N82" s="107"/>
      <c r="O82" s="108"/>
      <c r="P82" s="108"/>
      <c r="Q82" s="109"/>
    </row>
    <row r="83" spans="1:17" x14ac:dyDescent="0.25">
      <c r="A83" s="110" t="s">
        <v>33</v>
      </c>
      <c r="B83" s="110" t="s">
        <v>60</v>
      </c>
      <c r="C83" s="5" t="s">
        <v>59</v>
      </c>
      <c r="D83" s="12">
        <v>11.516</v>
      </c>
      <c r="E83" s="13">
        <v>1.89</v>
      </c>
      <c r="F83" s="13">
        <v>24.32</v>
      </c>
      <c r="G83" s="14">
        <v>144.61000000000001</v>
      </c>
      <c r="H83" s="13">
        <v>21.765239999999999</v>
      </c>
      <c r="I83" s="13">
        <v>280.06912</v>
      </c>
      <c r="J83" s="13">
        <v>1665.3287600000001</v>
      </c>
      <c r="K83" s="15">
        <v>16.928519999999999</v>
      </c>
      <c r="L83" s="13">
        <v>273.38983999999999</v>
      </c>
      <c r="M83" s="14">
        <v>625.08848</v>
      </c>
      <c r="N83" s="107">
        <f>(D84-D83)/D83</f>
        <v>-8.7183049670024271E-2</v>
      </c>
      <c r="O83" s="108">
        <f t="shared" ref="O83:Q83" si="33">(K84-K83)/K83</f>
        <v>-8.0973410552133265E-2</v>
      </c>
      <c r="P83" s="108">
        <f t="shared" si="33"/>
        <v>-0.14908849575390215</v>
      </c>
      <c r="Q83" s="109">
        <f t="shared" si="33"/>
        <v>-0.13191578894559047</v>
      </c>
    </row>
    <row r="84" spans="1:17" x14ac:dyDescent="0.25">
      <c r="A84" s="110"/>
      <c r="B84" s="110"/>
      <c r="C84" s="5" t="s">
        <v>62</v>
      </c>
      <c r="D84" s="12">
        <v>10.512</v>
      </c>
      <c r="E84" s="13">
        <v>1.9</v>
      </c>
      <c r="F84" s="13">
        <v>22.71</v>
      </c>
      <c r="G84" s="14">
        <v>141.96</v>
      </c>
      <c r="H84" s="13">
        <v>19.972799999999999</v>
      </c>
      <c r="I84" s="13">
        <v>238.72752000000003</v>
      </c>
      <c r="J84" s="13">
        <v>1492.2835200000002</v>
      </c>
      <c r="K84" s="15">
        <v>15.55776</v>
      </c>
      <c r="L84" s="13">
        <v>232.63056</v>
      </c>
      <c r="M84" s="14">
        <v>542.62944000000005</v>
      </c>
      <c r="N84" s="107"/>
      <c r="O84" s="108"/>
      <c r="P84" s="108"/>
      <c r="Q84" s="109"/>
    </row>
    <row r="85" spans="1:17" x14ac:dyDescent="0.25">
      <c r="A85" s="110"/>
      <c r="B85" s="110" t="s">
        <v>61</v>
      </c>
      <c r="C85" s="5" t="s">
        <v>59</v>
      </c>
      <c r="D85" s="12">
        <v>5.2370000000000001</v>
      </c>
      <c r="E85" s="13">
        <v>1.89</v>
      </c>
      <c r="F85" s="13">
        <v>22.99</v>
      </c>
      <c r="G85" s="14">
        <v>140.68</v>
      </c>
      <c r="H85" s="13">
        <v>9.8979300000000006</v>
      </c>
      <c r="I85" s="13">
        <v>120.39863</v>
      </c>
      <c r="J85" s="13">
        <v>736.74116000000004</v>
      </c>
      <c r="K85" s="15">
        <v>7.6983899999999998</v>
      </c>
      <c r="L85" s="13">
        <v>117.36117</v>
      </c>
      <c r="M85" s="14">
        <v>263.63058000000001</v>
      </c>
      <c r="N85" s="107">
        <f>(D86-D85)/D85</f>
        <v>-0.6988734008019859</v>
      </c>
      <c r="O85" s="108">
        <f t="shared" ref="O85:Q85" si="34">(K86-K85)/K85</f>
        <v>-0.68248555866876059</v>
      </c>
      <c r="P85" s="108">
        <f t="shared" si="34"/>
        <v>-0.77183714170538686</v>
      </c>
      <c r="Q85" s="109">
        <f t="shared" si="34"/>
        <v>-0.80223986155172133</v>
      </c>
    </row>
    <row r="86" spans="1:17" x14ac:dyDescent="0.25">
      <c r="A86" s="110"/>
      <c r="B86" s="110"/>
      <c r="C86" s="5" t="s">
        <v>62</v>
      </c>
      <c r="D86" s="12">
        <v>1.577</v>
      </c>
      <c r="E86" s="13">
        <v>1.97</v>
      </c>
      <c r="F86" s="13">
        <v>17.559999999999999</v>
      </c>
      <c r="G86" s="14">
        <v>123.4</v>
      </c>
      <c r="H86" s="13">
        <v>3.10669</v>
      </c>
      <c r="I86" s="13">
        <v>27.692119999999996</v>
      </c>
      <c r="J86" s="13">
        <v>194.6018</v>
      </c>
      <c r="K86" s="15">
        <v>2.44435</v>
      </c>
      <c r="L86" s="13">
        <v>26.777460000000001</v>
      </c>
      <c r="M86" s="14">
        <v>52.135620000000003</v>
      </c>
      <c r="N86" s="107"/>
      <c r="O86" s="108"/>
      <c r="P86" s="108"/>
      <c r="Q86" s="109"/>
    </row>
    <row r="87" spans="1:17" x14ac:dyDescent="0.25">
      <c r="A87" s="110" t="s">
        <v>37</v>
      </c>
      <c r="B87" s="110" t="s">
        <v>60</v>
      </c>
      <c r="C87" s="5" t="s">
        <v>59</v>
      </c>
      <c r="D87" s="12">
        <v>0.52300000000000002</v>
      </c>
      <c r="E87" s="13">
        <v>2.11</v>
      </c>
      <c r="F87" s="13">
        <v>4.92</v>
      </c>
      <c r="G87" s="14">
        <v>100.63</v>
      </c>
      <c r="H87" s="13">
        <v>1.1035299999999999</v>
      </c>
      <c r="I87" s="13">
        <v>2.5731600000000001</v>
      </c>
      <c r="J87" s="13">
        <v>52.629489999999997</v>
      </c>
      <c r="K87" s="15">
        <v>0.88387000000000004</v>
      </c>
      <c r="L87" s="13">
        <v>2.2698200000000002</v>
      </c>
      <c r="M87" s="14">
        <v>4.0584800000000003</v>
      </c>
      <c r="N87" s="107">
        <f>(D88-D87)/D87</f>
        <v>0</v>
      </c>
      <c r="O87" s="108">
        <f t="shared" ref="O87:Q87" si="35">(K88-K87)/K87</f>
        <v>0</v>
      </c>
      <c r="P87" s="108">
        <f t="shared" si="35"/>
        <v>-2.3041474654378179E-3</v>
      </c>
      <c r="Q87" s="109">
        <f t="shared" si="35"/>
        <v>-0.13144329896907223</v>
      </c>
    </row>
    <row r="88" spans="1:17" x14ac:dyDescent="0.25">
      <c r="A88" s="110"/>
      <c r="B88" s="110"/>
      <c r="C88" s="5" t="s">
        <v>62</v>
      </c>
      <c r="D88" s="12">
        <v>0.52300000000000002</v>
      </c>
      <c r="E88" s="13">
        <v>2.11</v>
      </c>
      <c r="F88" s="13">
        <v>4.91</v>
      </c>
      <c r="G88" s="14">
        <v>99.62</v>
      </c>
      <c r="H88" s="13">
        <v>1.1035299999999999</v>
      </c>
      <c r="I88" s="13">
        <v>2.56793</v>
      </c>
      <c r="J88" s="13">
        <v>52.101260000000003</v>
      </c>
      <c r="K88" s="15">
        <v>0.88387000000000004</v>
      </c>
      <c r="L88" s="13">
        <v>2.2645900000000001</v>
      </c>
      <c r="M88" s="14">
        <v>3.52502</v>
      </c>
      <c r="N88" s="107"/>
      <c r="O88" s="108"/>
      <c r="P88" s="108"/>
      <c r="Q88" s="109"/>
    </row>
    <row r="89" spans="1:17" x14ac:dyDescent="0.25">
      <c r="A89" s="110"/>
      <c r="B89" s="110" t="s">
        <v>61</v>
      </c>
      <c r="C89" s="5" t="s">
        <v>59</v>
      </c>
      <c r="D89" s="12">
        <v>0.52300000000000002</v>
      </c>
      <c r="E89" s="13">
        <v>2.09</v>
      </c>
      <c r="F89" s="13">
        <v>4.92</v>
      </c>
      <c r="G89" s="14">
        <v>99.88</v>
      </c>
      <c r="H89" s="13">
        <v>1.09307</v>
      </c>
      <c r="I89" s="13">
        <v>2.5731600000000001</v>
      </c>
      <c r="J89" s="13">
        <v>52.23724</v>
      </c>
      <c r="K89" s="15">
        <v>0.87341000000000002</v>
      </c>
      <c r="L89" s="13">
        <v>2.2698200000000002</v>
      </c>
      <c r="M89" s="14">
        <v>3.661</v>
      </c>
      <c r="N89" s="107">
        <f>(D90-D89)/D89</f>
        <v>0</v>
      </c>
      <c r="O89" s="108">
        <f t="shared" ref="O89:Q89" si="36">(K90-K89)/K89</f>
        <v>1.7964071856287404E-2</v>
      </c>
      <c r="P89" s="108">
        <f t="shared" si="36"/>
        <v>2.3041474654376219E-3</v>
      </c>
      <c r="Q89" s="109">
        <f t="shared" si="36"/>
        <v>0.15285714285714302</v>
      </c>
    </row>
    <row r="90" spans="1:17" x14ac:dyDescent="0.25">
      <c r="A90" s="110"/>
      <c r="B90" s="110"/>
      <c r="C90" s="5" t="s">
        <v>62</v>
      </c>
      <c r="D90" s="12">
        <v>0.52300000000000002</v>
      </c>
      <c r="E90" s="13">
        <v>2.12</v>
      </c>
      <c r="F90" s="13">
        <v>4.93</v>
      </c>
      <c r="G90" s="14">
        <v>100.94</v>
      </c>
      <c r="H90" s="13">
        <v>1.1087600000000002</v>
      </c>
      <c r="I90" s="13">
        <v>2.5783899999999997</v>
      </c>
      <c r="J90" s="13">
        <v>52.791620000000002</v>
      </c>
      <c r="K90" s="15">
        <v>0.8891</v>
      </c>
      <c r="L90" s="13">
        <v>2.2750499999999998</v>
      </c>
      <c r="M90" s="14">
        <v>4.2206100000000006</v>
      </c>
      <c r="N90" s="107"/>
      <c r="O90" s="108"/>
      <c r="P90" s="108"/>
      <c r="Q90" s="109"/>
    </row>
    <row r="91" spans="1:17" x14ac:dyDescent="0.25">
      <c r="A91" s="110" t="s">
        <v>39</v>
      </c>
      <c r="B91" s="110" t="s">
        <v>60</v>
      </c>
      <c r="C91" s="5" t="s">
        <v>59</v>
      </c>
      <c r="D91" s="12">
        <v>8.3759999999999994</v>
      </c>
      <c r="E91" s="13">
        <v>1.99</v>
      </c>
      <c r="F91" s="13">
        <v>22.53</v>
      </c>
      <c r="G91" s="14">
        <v>139.41999999999999</v>
      </c>
      <c r="H91" s="13">
        <v>16.668239999999997</v>
      </c>
      <c r="I91" s="13">
        <v>188.71127999999999</v>
      </c>
      <c r="J91" s="13">
        <v>1167.7819199999999</v>
      </c>
      <c r="K91" s="15">
        <v>13.150319999999999</v>
      </c>
      <c r="L91" s="13">
        <v>183.85319999999999</v>
      </c>
      <c r="M91" s="14">
        <v>417.29231999999996</v>
      </c>
      <c r="N91" s="107">
        <f>(D92-D91)/D91</f>
        <v>-0.50011938872970385</v>
      </c>
      <c r="O91" s="108">
        <f t="shared" ref="O91:Q91" si="37">(K92-K91)/K91</f>
        <v>-0.50011938872970385</v>
      </c>
      <c r="P91" s="108">
        <f t="shared" si="37"/>
        <v>-0.56547963266345103</v>
      </c>
      <c r="Q91" s="109">
        <f t="shared" si="37"/>
        <v>-0.57888419801255864</v>
      </c>
    </row>
    <row r="92" spans="1:17" x14ac:dyDescent="0.25">
      <c r="A92" s="110"/>
      <c r="B92" s="110"/>
      <c r="C92" s="5" t="s">
        <v>62</v>
      </c>
      <c r="D92" s="12">
        <v>4.1870000000000003</v>
      </c>
      <c r="E92" s="13">
        <v>1.99</v>
      </c>
      <c r="F92" s="13">
        <v>19.66</v>
      </c>
      <c r="G92" s="14">
        <v>131.57</v>
      </c>
      <c r="H92" s="13">
        <v>8.3321300000000011</v>
      </c>
      <c r="I92" s="13">
        <v>82.316420000000008</v>
      </c>
      <c r="J92" s="13">
        <v>550.88359000000003</v>
      </c>
      <c r="K92" s="15">
        <v>6.5735900000000003</v>
      </c>
      <c r="L92" s="13">
        <v>79.887959999999993</v>
      </c>
      <c r="M92" s="14">
        <v>175.72839000000002</v>
      </c>
      <c r="N92" s="107"/>
      <c r="O92" s="108"/>
      <c r="P92" s="108"/>
      <c r="Q92" s="109"/>
    </row>
    <row r="93" spans="1:17" x14ac:dyDescent="0.25">
      <c r="A93" s="110"/>
      <c r="B93" s="110" t="s">
        <v>61</v>
      </c>
      <c r="C93" s="5" t="s">
        <v>59</v>
      </c>
      <c r="D93" s="12">
        <v>0.52300000000000002</v>
      </c>
      <c r="E93" s="13">
        <v>2.2200000000000002</v>
      </c>
      <c r="F93" s="13">
        <v>8.0500000000000007</v>
      </c>
      <c r="G93" s="14">
        <v>103.47</v>
      </c>
      <c r="H93" s="13">
        <v>1.1610600000000002</v>
      </c>
      <c r="I93" s="13">
        <v>4.2101500000000005</v>
      </c>
      <c r="J93" s="13">
        <v>54.114809999999999</v>
      </c>
      <c r="K93" s="15">
        <v>0.94140000000000001</v>
      </c>
      <c r="L93" s="13">
        <v>3.9068100000000001</v>
      </c>
      <c r="M93" s="14">
        <v>7.2540100000000001</v>
      </c>
      <c r="N93" s="107">
        <f>(D94-D93)/D93</f>
        <v>2.0133843212237093</v>
      </c>
      <c r="O93" s="108">
        <f>(K94-K93)/K93</f>
        <v>1.7120458891013386</v>
      </c>
      <c r="P93" s="108">
        <f>(L94-L93)/L93</f>
        <v>3.8649819161924945</v>
      </c>
      <c r="Q93" s="109">
        <f>(M94-M93)/M93</f>
        <v>4.6226666354195824</v>
      </c>
    </row>
    <row r="94" spans="1:17" x14ac:dyDescent="0.25">
      <c r="A94" s="110"/>
      <c r="B94" s="110"/>
      <c r="C94" s="5" t="s">
        <v>62</v>
      </c>
      <c r="D94" s="12">
        <v>1.5760000000000001</v>
      </c>
      <c r="E94" s="13">
        <v>2.04</v>
      </c>
      <c r="F94" s="13">
        <v>12.64</v>
      </c>
      <c r="G94" s="14">
        <v>115.48</v>
      </c>
      <c r="H94" s="13">
        <v>3.2150400000000001</v>
      </c>
      <c r="I94" s="13">
        <v>19.920640000000002</v>
      </c>
      <c r="J94" s="13">
        <v>181.99648000000002</v>
      </c>
      <c r="K94" s="15">
        <v>2.5531200000000003</v>
      </c>
      <c r="L94" s="13">
        <v>19.00656</v>
      </c>
      <c r="M94" s="14">
        <v>40.786880000000004</v>
      </c>
      <c r="N94" s="107"/>
      <c r="O94" s="108"/>
      <c r="P94" s="108"/>
      <c r="Q94" s="109"/>
    </row>
  </sheetData>
  <mergeCells count="261">
    <mergeCell ref="K1:M1"/>
    <mergeCell ref="N1:Q1"/>
    <mergeCell ref="A3:A6"/>
    <mergeCell ref="B3:B4"/>
    <mergeCell ref="N3:N4"/>
    <mergeCell ref="O3:O4"/>
    <mergeCell ref="P3:P4"/>
    <mergeCell ref="Q3:Q4"/>
    <mergeCell ref="B5:B6"/>
    <mergeCell ref="N5:N6"/>
    <mergeCell ref="A1:A2"/>
    <mergeCell ref="B1:B2"/>
    <mergeCell ref="C1:C2"/>
    <mergeCell ref="D1:D2"/>
    <mergeCell ref="E1:G1"/>
    <mergeCell ref="O5:O6"/>
    <mergeCell ref="P5:P6"/>
    <mergeCell ref="Q5:Q6"/>
    <mergeCell ref="H1:J1"/>
    <mergeCell ref="A11:A14"/>
    <mergeCell ref="B11:B12"/>
    <mergeCell ref="N11:N12"/>
    <mergeCell ref="O11:O12"/>
    <mergeCell ref="P11:P12"/>
    <mergeCell ref="A7:A10"/>
    <mergeCell ref="B7:B8"/>
    <mergeCell ref="N7:N8"/>
    <mergeCell ref="O7:O8"/>
    <mergeCell ref="P7:P8"/>
    <mergeCell ref="Q7:Q8"/>
    <mergeCell ref="Q11:Q12"/>
    <mergeCell ref="B13:B14"/>
    <mergeCell ref="N13:N14"/>
    <mergeCell ref="O13:O14"/>
    <mergeCell ref="P13:P14"/>
    <mergeCell ref="Q13:Q14"/>
    <mergeCell ref="B9:B10"/>
    <mergeCell ref="N9:N10"/>
    <mergeCell ref="O9:O10"/>
    <mergeCell ref="P9:P10"/>
    <mergeCell ref="Q9:Q10"/>
    <mergeCell ref="Q17:Q18"/>
    <mergeCell ref="A19:A22"/>
    <mergeCell ref="B19:B20"/>
    <mergeCell ref="N19:N20"/>
    <mergeCell ref="O19:O20"/>
    <mergeCell ref="P19:P20"/>
    <mergeCell ref="Q19:Q20"/>
    <mergeCell ref="B21:B22"/>
    <mergeCell ref="N21:N22"/>
    <mergeCell ref="O21:O22"/>
    <mergeCell ref="A15:A18"/>
    <mergeCell ref="B15:B16"/>
    <mergeCell ref="N15:N16"/>
    <mergeCell ref="O15:O16"/>
    <mergeCell ref="P15:P16"/>
    <mergeCell ref="Q15:Q16"/>
    <mergeCell ref="B17:B18"/>
    <mergeCell ref="N17:N18"/>
    <mergeCell ref="O17:O18"/>
    <mergeCell ref="P17:P18"/>
    <mergeCell ref="P21:P22"/>
    <mergeCell ref="Q21:Q22"/>
    <mergeCell ref="A23:A26"/>
    <mergeCell ref="B23:B24"/>
    <mergeCell ref="N23:N24"/>
    <mergeCell ref="O23:O24"/>
    <mergeCell ref="P23:P24"/>
    <mergeCell ref="Q23:Q24"/>
    <mergeCell ref="B25:B26"/>
    <mergeCell ref="N25:N26"/>
    <mergeCell ref="O25:O26"/>
    <mergeCell ref="P25:P26"/>
    <mergeCell ref="Q25:Q26"/>
    <mergeCell ref="A27:A30"/>
    <mergeCell ref="B27:B28"/>
    <mergeCell ref="N27:N28"/>
    <mergeCell ref="O27:O28"/>
    <mergeCell ref="P27:P28"/>
    <mergeCell ref="Q27:Q28"/>
    <mergeCell ref="B29:B30"/>
    <mergeCell ref="A35:A38"/>
    <mergeCell ref="B35:B36"/>
    <mergeCell ref="N35:N36"/>
    <mergeCell ref="O35:O36"/>
    <mergeCell ref="P35:P36"/>
    <mergeCell ref="N29:N30"/>
    <mergeCell ref="O29:O30"/>
    <mergeCell ref="P29:P30"/>
    <mergeCell ref="Q29:Q30"/>
    <mergeCell ref="A31:A34"/>
    <mergeCell ref="B31:B32"/>
    <mergeCell ref="N31:N32"/>
    <mergeCell ref="O31:O32"/>
    <mergeCell ref="P31:P32"/>
    <mergeCell ref="Q31:Q32"/>
    <mergeCell ref="Q35:Q36"/>
    <mergeCell ref="B37:B38"/>
    <mergeCell ref="N37:N38"/>
    <mergeCell ref="O37:O38"/>
    <mergeCell ref="P37:P38"/>
    <mergeCell ref="Q37:Q38"/>
    <mergeCell ref="B33:B34"/>
    <mergeCell ref="N33:N34"/>
    <mergeCell ref="O33:O34"/>
    <mergeCell ref="P33:P34"/>
    <mergeCell ref="Q33:Q34"/>
    <mergeCell ref="Q41:Q42"/>
    <mergeCell ref="A43:A46"/>
    <mergeCell ref="B43:B44"/>
    <mergeCell ref="N43:N44"/>
    <mergeCell ref="O43:O44"/>
    <mergeCell ref="P43:P44"/>
    <mergeCell ref="Q43:Q44"/>
    <mergeCell ref="B45:B46"/>
    <mergeCell ref="N45:N46"/>
    <mergeCell ref="O45:O46"/>
    <mergeCell ref="A39:A42"/>
    <mergeCell ref="B39:B40"/>
    <mergeCell ref="N39:N40"/>
    <mergeCell ref="O39:O40"/>
    <mergeCell ref="P39:P40"/>
    <mergeCell ref="Q39:Q40"/>
    <mergeCell ref="B41:B42"/>
    <mergeCell ref="N41:N42"/>
    <mergeCell ref="O41:O42"/>
    <mergeCell ref="P41:P42"/>
    <mergeCell ref="P45:P46"/>
    <mergeCell ref="Q45:Q46"/>
    <mergeCell ref="A47:A50"/>
    <mergeCell ref="B47:B48"/>
    <mergeCell ref="N47:N48"/>
    <mergeCell ref="O47:O48"/>
    <mergeCell ref="P47:P48"/>
    <mergeCell ref="Q47:Q48"/>
    <mergeCell ref="B49:B50"/>
    <mergeCell ref="N49:N50"/>
    <mergeCell ref="O49:O50"/>
    <mergeCell ref="P49:P50"/>
    <mergeCell ref="Q49:Q50"/>
    <mergeCell ref="A51:A54"/>
    <mergeCell ref="B51:B52"/>
    <mergeCell ref="N51:N52"/>
    <mergeCell ref="O51:O52"/>
    <mergeCell ref="P51:P52"/>
    <mergeCell ref="Q51:Q52"/>
    <mergeCell ref="B53:B54"/>
    <mergeCell ref="A59:A62"/>
    <mergeCell ref="B59:B60"/>
    <mergeCell ref="N59:N60"/>
    <mergeCell ref="O59:O60"/>
    <mergeCell ref="P59:P60"/>
    <mergeCell ref="N53:N54"/>
    <mergeCell ref="O53:O54"/>
    <mergeCell ref="P53:P54"/>
    <mergeCell ref="Q53:Q54"/>
    <mergeCell ref="A55:A58"/>
    <mergeCell ref="B55:B56"/>
    <mergeCell ref="N55:N56"/>
    <mergeCell ref="O55:O56"/>
    <mergeCell ref="P55:P56"/>
    <mergeCell ref="Q55:Q56"/>
    <mergeCell ref="Q59:Q60"/>
    <mergeCell ref="B61:B62"/>
    <mergeCell ref="N61:N62"/>
    <mergeCell ref="O61:O62"/>
    <mergeCell ref="P61:P62"/>
    <mergeCell ref="Q61:Q62"/>
    <mergeCell ref="B57:B58"/>
    <mergeCell ref="N57:N58"/>
    <mergeCell ref="O57:O58"/>
    <mergeCell ref="P57:P58"/>
    <mergeCell ref="Q57:Q58"/>
    <mergeCell ref="Q65:Q66"/>
    <mergeCell ref="A67:A70"/>
    <mergeCell ref="B67:B68"/>
    <mergeCell ref="N67:N68"/>
    <mergeCell ref="O67:O68"/>
    <mergeCell ref="P67:P68"/>
    <mergeCell ref="Q67:Q68"/>
    <mergeCell ref="B69:B70"/>
    <mergeCell ref="N69:N70"/>
    <mergeCell ref="O69:O70"/>
    <mergeCell ref="A63:A66"/>
    <mergeCell ref="B63:B64"/>
    <mergeCell ref="N63:N64"/>
    <mergeCell ref="O63:O64"/>
    <mergeCell ref="P63:P64"/>
    <mergeCell ref="Q63:Q64"/>
    <mergeCell ref="B65:B66"/>
    <mergeCell ref="N65:N66"/>
    <mergeCell ref="O65:O66"/>
    <mergeCell ref="P65:P66"/>
    <mergeCell ref="P69:P70"/>
    <mergeCell ref="Q69:Q70"/>
    <mergeCell ref="A71:A74"/>
    <mergeCell ref="B71:B72"/>
    <mergeCell ref="N71:N72"/>
    <mergeCell ref="O71:O72"/>
    <mergeCell ref="P71:P72"/>
    <mergeCell ref="Q71:Q72"/>
    <mergeCell ref="B73:B74"/>
    <mergeCell ref="N73:N74"/>
    <mergeCell ref="O73:O74"/>
    <mergeCell ref="P73:P74"/>
    <mergeCell ref="Q73:Q74"/>
    <mergeCell ref="A75:A78"/>
    <mergeCell ref="B75:B76"/>
    <mergeCell ref="N75:N76"/>
    <mergeCell ref="O75:O76"/>
    <mergeCell ref="P75:P76"/>
    <mergeCell ref="Q75:Q76"/>
    <mergeCell ref="B77:B78"/>
    <mergeCell ref="A83:A86"/>
    <mergeCell ref="B83:B84"/>
    <mergeCell ref="N83:N84"/>
    <mergeCell ref="O83:O84"/>
    <mergeCell ref="P83:P84"/>
    <mergeCell ref="N77:N78"/>
    <mergeCell ref="O77:O78"/>
    <mergeCell ref="P77:P78"/>
    <mergeCell ref="Q77:Q78"/>
    <mergeCell ref="A79:A82"/>
    <mergeCell ref="B79:B80"/>
    <mergeCell ref="N79:N80"/>
    <mergeCell ref="O79:O80"/>
    <mergeCell ref="P79:P80"/>
    <mergeCell ref="Q79:Q80"/>
    <mergeCell ref="Q83:Q84"/>
    <mergeCell ref="B85:B86"/>
    <mergeCell ref="N85:N86"/>
    <mergeCell ref="O85:O86"/>
    <mergeCell ref="P85:P86"/>
    <mergeCell ref="Q85:Q86"/>
    <mergeCell ref="B81:B82"/>
    <mergeCell ref="N81:N82"/>
    <mergeCell ref="O81:O82"/>
    <mergeCell ref="P81:P82"/>
    <mergeCell ref="Q81:Q82"/>
    <mergeCell ref="Q89:Q90"/>
    <mergeCell ref="A91:A94"/>
    <mergeCell ref="B91:B92"/>
    <mergeCell ref="N91:N92"/>
    <mergeCell ref="O91:O92"/>
    <mergeCell ref="P91:P92"/>
    <mergeCell ref="Q91:Q92"/>
    <mergeCell ref="B93:B94"/>
    <mergeCell ref="N93:N94"/>
    <mergeCell ref="O93:O94"/>
    <mergeCell ref="A87:A90"/>
    <mergeCell ref="B87:B88"/>
    <mergeCell ref="N87:N88"/>
    <mergeCell ref="O87:O88"/>
    <mergeCell ref="P87:P88"/>
    <mergeCell ref="Q87:Q88"/>
    <mergeCell ref="B89:B90"/>
    <mergeCell ref="N89:N90"/>
    <mergeCell ref="O89:O90"/>
    <mergeCell ref="P89:P90"/>
    <mergeCell ref="P93:P94"/>
    <mergeCell ref="Q93:Q94"/>
  </mergeCells>
  <conditionalFormatting sqref="N3:Q94">
    <cfRule type="colorScale" priority="1">
      <colorScale>
        <cfvo type="num" val="-1"/>
        <cfvo type="num" val="0"/>
        <cfvo type="num" val="1"/>
        <color rgb="FF92D050"/>
        <color rgb="FFFFC000"/>
        <color rgb="FFFF00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F6849-BBCA-4672-AC62-2F8A0A919D8A}">
  <dimension ref="A1:S36"/>
  <sheetViews>
    <sheetView zoomScaleNormal="100" workbookViewId="0">
      <selection activeCell="A28" sqref="A26:XFD28"/>
    </sheetView>
  </sheetViews>
  <sheetFormatPr baseColWidth="10" defaultColWidth="9.140625" defaultRowHeight="15" x14ac:dyDescent="0.25"/>
  <cols>
    <col min="1" max="1" width="12" customWidth="1"/>
    <col min="2" max="9" width="15.7109375" customWidth="1"/>
    <col min="10" max="10" width="28.5703125" bestFit="1" customWidth="1"/>
    <col min="14" max="14" width="15.140625" customWidth="1"/>
    <col min="15" max="15" width="68" bestFit="1" customWidth="1"/>
    <col min="18" max="18" width="15.140625" customWidth="1"/>
    <col min="19" max="19" width="67" bestFit="1" customWidth="1"/>
  </cols>
  <sheetData>
    <row r="1" spans="1:19" x14ac:dyDescent="0.25">
      <c r="B1" s="112" t="s">
        <v>90</v>
      </c>
      <c r="C1" s="113"/>
      <c r="D1" s="113"/>
      <c r="E1" s="114"/>
      <c r="F1" s="112" t="s">
        <v>91</v>
      </c>
      <c r="G1" s="113"/>
      <c r="H1" s="113"/>
      <c r="I1" s="114"/>
    </row>
    <row r="2" spans="1:19" x14ac:dyDescent="0.25">
      <c r="A2" s="35" t="s">
        <v>45</v>
      </c>
      <c r="B2" s="36" t="s">
        <v>95</v>
      </c>
      <c r="C2" s="36" t="s">
        <v>96</v>
      </c>
      <c r="D2" s="36" t="s">
        <v>94</v>
      </c>
      <c r="E2" s="36" t="s">
        <v>185</v>
      </c>
      <c r="F2" s="36" t="s">
        <v>95</v>
      </c>
      <c r="G2" s="36" t="s">
        <v>96</v>
      </c>
      <c r="H2" s="36" t="s">
        <v>94</v>
      </c>
      <c r="I2" s="36" t="s">
        <v>185</v>
      </c>
      <c r="J2" s="35" t="s">
        <v>177</v>
      </c>
    </row>
    <row r="3" spans="1:19" x14ac:dyDescent="0.25">
      <c r="A3" s="32" t="s">
        <v>101</v>
      </c>
      <c r="B3" s="61" cm="1">
        <f t="array" aca="1" ref="B3" ca="1">INDIRECT("'C Impact of Technique'!M" &amp; 3 + (ROW(A1)-1)*4)</f>
        <v>221.55833000000001</v>
      </c>
      <c r="C3" s="46" cm="1">
        <f t="array" aca="1" ref="C3" ca="1">INDIRECT("'C Impact of Technique'!M" &amp; 4 + (ROW(A1)-1)*4)</f>
        <v>142.38303999999999</v>
      </c>
      <c r="D3" s="46" cm="1">
        <f t="array" aca="1" ref="D3" ca="1">INDIRECT("'C Impact of Technique'!Q" &amp; 3 + (ROW(A1)-1)*4)*100</f>
        <v>-35.735641264311759</v>
      </c>
      <c r="E3" s="60" t="s">
        <v>182</v>
      </c>
      <c r="F3" s="46" cm="1">
        <f t="array" aca="1" ref="F3" ca="1">INDIRECT("'C Impact of Technique'!M" &amp; 5 + (ROW(A1)-1)*4)</f>
        <v>118.6606</v>
      </c>
      <c r="G3" s="46" cm="1">
        <f t="array" aca="1" ref="G3" ca="1">INDIRECT("'C Impact of Technique'!M" &amp; 6 + (ROW(A1)-1)*4)</f>
        <v>21.31568</v>
      </c>
      <c r="H3" s="47" cm="1">
        <f t="array" aca="1" ref="H3" ca="1">INDIRECT("'C Impact of Technique'!Q" &amp; 5 + (ROW(D1)-1)*4)*100</f>
        <v>-82.036429952317789</v>
      </c>
      <c r="I3" s="60" t="s">
        <v>182</v>
      </c>
      <c r="J3" s="39">
        <f ca="1">AVERAGE(D3,H3)</f>
        <v>-58.886035608314771</v>
      </c>
      <c r="N3" s="112" t="s">
        <v>90</v>
      </c>
      <c r="O3" s="114"/>
      <c r="P3" s="70"/>
      <c r="Q3" s="70"/>
      <c r="R3" s="112" t="s">
        <v>91</v>
      </c>
      <c r="S3" s="114"/>
    </row>
    <row r="4" spans="1:19" x14ac:dyDescent="0.25">
      <c r="A4" s="32" t="s">
        <v>103</v>
      </c>
      <c r="B4" s="48" cm="1">
        <f t="array" aca="1" ref="B4" ca="1">INDIRECT("'C Impact of Technique'!M" &amp; 3 + (ROW(A2)-1)*4)</f>
        <v>63.531959999999998</v>
      </c>
      <c r="C4" s="41" cm="1">
        <f t="array" aca="1" ref="C4" ca="1">INDIRECT("'C Impact of Technique'!M" &amp; 4 + (ROW(A2)-1)*4)</f>
        <v>27.300600000000003</v>
      </c>
      <c r="D4" s="41" cm="1">
        <f t="array" aca="1" ref="D4" ca="1">INDIRECT("'C Impact of Technique'!Q" &amp; 3 + (ROW(A2)-1)*4)*100</f>
        <v>-57.028556965659483</v>
      </c>
      <c r="E4" s="30" t="s">
        <v>182</v>
      </c>
      <c r="F4" s="41" cm="1">
        <f t="array" aca="1" ref="F4" ca="1">INDIRECT("'C Impact of Technique'!M" &amp; 5 + (ROW(A2)-1)*4)</f>
        <v>63.103949999999998</v>
      </c>
      <c r="G4" s="41" cm="1">
        <f t="array" aca="1" ref="G4" ca="1">INDIRECT("'C Impact of Technique'!M" &amp; 6 + (ROW(A2)-1)*4)</f>
        <v>28.415579999999999</v>
      </c>
      <c r="H4" s="42" cm="1">
        <f t="array" aca="1" ref="H4" ca="1">INDIRECT("'C Impact of Technique'!Q" &amp; 5 + (ROW(D2)-1)*4)*100</f>
        <v>-54.970203925427811</v>
      </c>
      <c r="I4" s="30" t="s">
        <v>183</v>
      </c>
      <c r="J4" s="40">
        <f t="shared" ref="J4:J25" ca="1" si="0">AVERAGE(D4,H4)</f>
        <v>-55.99938044554365</v>
      </c>
      <c r="N4" s="16" t="s">
        <v>100</v>
      </c>
      <c r="O4" s="56" t="s">
        <v>99</v>
      </c>
      <c r="P4" s="70"/>
      <c r="Q4" s="70"/>
      <c r="R4" s="16" t="s">
        <v>100</v>
      </c>
      <c r="S4" s="57" t="s">
        <v>99</v>
      </c>
    </row>
    <row r="5" spans="1:19" x14ac:dyDescent="0.25">
      <c r="A5" s="32" t="s">
        <v>105</v>
      </c>
      <c r="B5" s="48" cm="1">
        <f t="array" aca="1" ref="B5" ca="1">INDIRECT("'C Impact of Technique'!M" &amp; 3 + (ROW(A3)-1)*4)</f>
        <v>243.32315</v>
      </c>
      <c r="C5" s="41" cm="1">
        <f t="array" aca="1" ref="C5" ca="1">INDIRECT("'C Impact of Technique'!M" &amp; 4 + (ROW(A3)-1)*4)</f>
        <v>288.47541000000001</v>
      </c>
      <c r="D5" s="41" cm="1">
        <f t="array" aca="1" ref="D5" ca="1">INDIRECT("'C Impact of Technique'!Q" &amp; 3 + (ROW(A3)-1)*4)*100</f>
        <v>18.556499864480635</v>
      </c>
      <c r="E5" s="30" t="s">
        <v>182</v>
      </c>
      <c r="F5" s="41" cm="1">
        <f t="array" aca="1" ref="F5" ca="1">INDIRECT("'C Impact of Technique'!M" &amp; 5 + (ROW(A3)-1)*4)</f>
        <v>1126.5793200000001</v>
      </c>
      <c r="G5" s="41" cm="1">
        <f t="array" aca="1" ref="G5" ca="1">INDIRECT("'C Impact of Technique'!M" &amp; 6 + (ROW(A3)-1)*4)</f>
        <v>226.67190000000002</v>
      </c>
      <c r="H5" s="42" cm="1">
        <f t="array" aca="1" ref="H5" ca="1">INDIRECT("'C Impact of Technique'!Q" &amp; 5 + (ROW(D3)-1)*4)*100</f>
        <v>-79.87963244345724</v>
      </c>
      <c r="I5" s="30" t="s">
        <v>182</v>
      </c>
      <c r="J5" s="40">
        <f t="shared" ca="1" si="0"/>
        <v>-30.661566289488302</v>
      </c>
      <c r="N5" s="71" t="s">
        <v>106</v>
      </c>
      <c r="O5" s="29" t="str" cm="1">
        <f t="array" aca="1" ref="O5" ca="1">_xlfn.TEXTJOIN(", ", TRUE, IF(D3:D25 &lt;= -75, A3:A25, ""))</f>
        <v>T10</v>
      </c>
      <c r="R5" s="71" t="s">
        <v>106</v>
      </c>
      <c r="S5" s="29" t="str" cm="1">
        <f t="array" aca="1" ref="S5" ca="1">_xlfn.TEXTJOIN(", ", TRUE, IF(H3:H25 &lt;= -75, A3:A25, ""))</f>
        <v>T4, T8, T10, T26, T40</v>
      </c>
    </row>
    <row r="6" spans="1:19" x14ac:dyDescent="0.25">
      <c r="A6" s="32" t="s">
        <v>104</v>
      </c>
      <c r="B6" s="48" cm="1">
        <f t="array" aca="1" ref="B6" ca="1">INDIRECT("'C Impact of Technique'!M" &amp; 3 + (ROW(A4)-1)*4)</f>
        <v>7.3360000000000003</v>
      </c>
      <c r="C6" s="41" cm="1">
        <f t="array" aca="1" ref="C6" ca="1">INDIRECT("'C Impact of Technique'!M" &amp; 4 + (ROW(A4)-1)*4)</f>
        <v>6.4976000000000003</v>
      </c>
      <c r="D6" s="41" cm="1">
        <f t="array" aca="1" ref="D6" ca="1">INDIRECT("'C Impact of Technique'!Q" &amp; 3 + (ROW(A4)-1)*4)*100</f>
        <v>-11.428571428571429</v>
      </c>
      <c r="E6" s="30" t="s">
        <v>182</v>
      </c>
      <c r="F6" s="41" cm="1">
        <f t="array" aca="1" ref="F6" ca="1">INDIRECT("'C Impact of Technique'!M" &amp; 5 + (ROW(A4)-1)*4)</f>
        <v>6.3037200000000002</v>
      </c>
      <c r="G6" s="41" cm="1">
        <f t="array" aca="1" ref="G6" ca="1">INDIRECT("'C Impact of Technique'!M" &amp; 6 + (ROW(A4)-1)*4)</f>
        <v>6.1086400000000003</v>
      </c>
      <c r="H6" s="42" cm="1">
        <f t="array" aca="1" ref="H6" ca="1">INDIRECT("'C Impact of Technique'!Q" &amp; 5 + (ROW(D4)-1)*4)*100</f>
        <v>-3.0946806012957415</v>
      </c>
      <c r="I6" s="30" t="s">
        <v>182</v>
      </c>
      <c r="J6" s="40">
        <f t="shared" ca="1" si="0"/>
        <v>-7.2616260149335847</v>
      </c>
      <c r="N6" s="72" t="s">
        <v>107</v>
      </c>
      <c r="O6" s="29" t="str" cm="1">
        <f t="array" aca="1" ref="O6" ca="1">_xlfn.TEXTJOIN(", ", TRUE, IF((D3:D25 &gt; -75) * (D3:D25 &lt;= -25), A3:A25, ""))</f>
        <v>T4, T7, T20, T49</v>
      </c>
      <c r="R6" s="72" t="s">
        <v>107</v>
      </c>
      <c r="S6" s="29" t="str" cm="1">
        <f t="array" aca="1" ref="S6" ca="1">_xlfn.TEXTJOIN(", ", TRUE, IF((H3:H25 &gt; -75) * (H3:H25 &lt;= -25), A3:A25, ""))</f>
        <v>T7, T11</v>
      </c>
    </row>
    <row r="7" spans="1:19" x14ac:dyDescent="0.25">
      <c r="A7" s="32" t="s">
        <v>1</v>
      </c>
      <c r="B7" s="48" cm="1">
        <f t="array" aca="1" ref="B7" ca="1">INDIRECT("'C Impact of Technique'!M" &amp; 3 + (ROW(A5)-1)*4)</f>
        <v>4730.46983</v>
      </c>
      <c r="C7" s="41" cm="1">
        <f t="array" aca="1" ref="C7" ca="1">INDIRECT("'C Impact of Technique'!M" &amp; 4 + (ROW(A5)-1)*4)</f>
        <v>14.45125</v>
      </c>
      <c r="D7" s="41" cm="1">
        <f t="array" aca="1" ref="D7" ca="1">INDIRECT("'C Impact of Technique'!Q" &amp; 3 + (ROW(A5)-1)*4)*100</f>
        <v>-99.694507088738789</v>
      </c>
      <c r="E7" s="30" t="s">
        <v>183</v>
      </c>
      <c r="F7" s="41" cm="1">
        <f t="array" aca="1" ref="F7" ca="1">INDIRECT("'C Impact of Technique'!M" &amp; 5 + (ROW(A5)-1)*4)</f>
        <v>4750.5160300000007</v>
      </c>
      <c r="G7" s="41" cm="1">
        <f t="array" aca="1" ref="G7" ca="1">INDIRECT("'C Impact of Technique'!M" &amp; 6 + (ROW(A5)-1)*4)</f>
        <v>6.1542000000000003</v>
      </c>
      <c r="H7" s="42" cm="1">
        <f t="array" aca="1" ref="H7" ca="1">INDIRECT("'C Impact of Technique'!Q" &amp; 5 + (ROW(D5)-1)*4)*100</f>
        <v>-99.87045196856225</v>
      </c>
      <c r="I7" s="30" t="s">
        <v>186</v>
      </c>
      <c r="J7" s="40">
        <f t="shared" ca="1" si="0"/>
        <v>-99.782479528650526</v>
      </c>
      <c r="N7" s="73" t="s">
        <v>112</v>
      </c>
      <c r="O7" s="29" t="str" cm="1">
        <f t="array" aca="1" ref="O7" ca="1">_xlfn.TEXTJOIN(", ", TRUE, IF((D3:D25 &gt; -25) * (D3:D25 &lt;= -3), A3:A25, ""))</f>
        <v>T9, T11, T12, T16, T25, T29, T32, T36, T40, T44</v>
      </c>
      <c r="R7" s="73" t="s">
        <v>112</v>
      </c>
      <c r="S7" s="29" t="str" cm="1">
        <f t="array" aca="1" ref="S7" ca="1">_xlfn.TEXTJOIN(", ", TRUE, IF((H3:H25 &gt; -25) * (H3:H25 &lt;= -3), A3:A25, ""))</f>
        <v>T9, T13, T17, T25, T28</v>
      </c>
    </row>
    <row r="8" spans="1:19" x14ac:dyDescent="0.25">
      <c r="A8" s="32" t="s">
        <v>2</v>
      </c>
      <c r="B8" s="48" cm="1">
        <f t="array" aca="1" ref="B8" ca="1">INDIRECT("'C Impact of Technique'!M" &amp; 3 + (ROW(A6)-1)*4)</f>
        <v>70.463099999999997</v>
      </c>
      <c r="C8" s="41" cm="1">
        <f t="array" aca="1" ref="C8" ca="1">INDIRECT("'C Impact of Technique'!M" &amp; 4 + (ROW(A6)-1)*4)</f>
        <v>67.038790000000006</v>
      </c>
      <c r="D8" s="41" cm="1">
        <f t="array" aca="1" ref="D8" ca="1">INDIRECT("'C Impact of Technique'!Q" &amp; 3 + (ROW(A6)-1)*4)*100</f>
        <v>-4.8597209035651163</v>
      </c>
      <c r="E8" s="30" t="s">
        <v>182</v>
      </c>
      <c r="F8" s="41" cm="1">
        <f t="array" aca="1" ref="F8" ca="1">INDIRECT("'C Impact of Technique'!M" &amp; 5 + (ROW(A6)-1)*4)</f>
        <v>24.709199999999999</v>
      </c>
      <c r="G8" s="41" cm="1">
        <f t="array" aca="1" ref="G8" ca="1">INDIRECT("'C Impact of Technique'!M" &amp; 6 + (ROW(A6)-1)*4)</f>
        <v>17.92464</v>
      </c>
      <c r="H8" s="42" cm="1">
        <f t="array" aca="1" ref="H8" ca="1">INDIRECT("'C Impact of Technique'!Q" &amp; 5 + (ROW(D6)-1)*4)*100</f>
        <v>-27.457627118644062</v>
      </c>
      <c r="I8" s="30" t="s">
        <v>182</v>
      </c>
      <c r="J8" s="40">
        <f t="shared" ca="1" si="0"/>
        <v>-16.158674011104591</v>
      </c>
      <c r="N8" s="74" t="s">
        <v>108</v>
      </c>
      <c r="O8" s="29" t="str" cm="1">
        <f t="array" aca="1" ref="O8" ca="1">_xlfn.TEXTJOIN(", ", TRUE, IF((D3:D25 &gt; -3) * (D3:D25 &lt; 3), A3:A25, ""))</f>
        <v>T13, T26</v>
      </c>
      <c r="R8" s="74" t="s">
        <v>108</v>
      </c>
      <c r="S8" s="29" t="str" cm="1">
        <f t="array" aca="1" ref="S8" ca="1">_xlfn.TEXTJOIN(", ", TRUE, IF((H3:H25 &gt; -3) * (H3:H25 &lt; 3), A3:A25, ""))</f>
        <v>T16</v>
      </c>
    </row>
    <row r="9" spans="1:19" x14ac:dyDescent="0.25">
      <c r="A9" s="32" t="s">
        <v>3</v>
      </c>
      <c r="B9" s="48" cm="1">
        <f t="array" aca="1" ref="B9" ca="1">INDIRECT("'C Impact of Technique'!M" &amp; 3 + (ROW(A7)-1)*4)</f>
        <v>23.526089999999996</v>
      </c>
      <c r="C9" s="41" cm="1">
        <f t="array" aca="1" ref="C9" ca="1">INDIRECT("'C Impact of Technique'!M" &amp; 4 + (ROW(A7)-1)*4)</f>
        <v>18.69942</v>
      </c>
      <c r="D9" s="41" cm="1">
        <f t="array" aca="1" ref="D9" ca="1">INDIRECT("'C Impact of Technique'!Q" &amp; 3 + (ROW(A7)-1)*4)*100</f>
        <v>-20.516243880729849</v>
      </c>
      <c r="E9" s="30" t="s">
        <v>182</v>
      </c>
      <c r="F9" s="41" cm="1">
        <f t="array" aca="1" ref="F9" ca="1">INDIRECT("'C Impact of Technique'!M" &amp; 5 + (ROW(A7)-1)*4)</f>
        <v>7.9417799999999987</v>
      </c>
      <c r="G9" s="41" cm="1">
        <f t="array" aca="1" ref="G9" ca="1">INDIRECT("'C Impact of Technique'!M" &amp; 6 + (ROW(A7)-1)*4)</f>
        <v>8.5417799999999993</v>
      </c>
      <c r="H9" s="42" cm="1">
        <f t="array" aca="1" ref="H9" ca="1">INDIRECT("'C Impact of Technique'!Q" &amp; 5 + (ROW(D7)-1)*4)*100</f>
        <v>7.5549813769709138</v>
      </c>
      <c r="I9" s="30" t="s">
        <v>182</v>
      </c>
      <c r="J9" s="40">
        <f t="shared" ca="1" si="0"/>
        <v>-6.4806312518794673</v>
      </c>
      <c r="N9" s="75" t="s">
        <v>109</v>
      </c>
      <c r="O9" s="29" t="str" cm="1">
        <f t="array" aca="1" ref="O9" ca="1">_xlfn.TEXTJOIN(", ", TRUE, IF((D3:D25 &gt;= 3) * (D3:D25 &lt; 25), A3:A25, ""))</f>
        <v>T8, T17, T33</v>
      </c>
      <c r="R9" s="75" t="s">
        <v>109</v>
      </c>
      <c r="S9" s="29" t="str" cm="1">
        <f t="array" aca="1" ref="S9" ca="1">_xlfn.TEXTJOIN(", ", TRUE, IF((H3:H25 &gt;= 3) * (H3:H25 &lt; 25), A3:A25, ""))</f>
        <v>T12, T19, T29, T32, T33, T36, T44</v>
      </c>
    </row>
    <row r="10" spans="1:19" x14ac:dyDescent="0.25">
      <c r="A10" s="32" t="s">
        <v>4</v>
      </c>
      <c r="B10" s="48" cm="1">
        <f t="array" aca="1" ref="B10" ca="1">INDIRECT("'C Impact of Technique'!M" &amp; 3 + (ROW(A8)-1)*4)</f>
        <v>418.63247999999993</v>
      </c>
      <c r="C10" s="41" cm="1">
        <f t="array" aca="1" ref="C10" ca="1">INDIRECT("'C Impact of Technique'!M" &amp; 4 + (ROW(A8)-1)*4)</f>
        <v>416.46790000000004</v>
      </c>
      <c r="D10" s="41" cm="1">
        <f t="array" aca="1" ref="D10" ca="1">INDIRECT("'C Impact of Technique'!Q" &amp; 3 + (ROW(A8)-1)*4)*100</f>
        <v>-0.51705973697976981</v>
      </c>
      <c r="E10" s="30" t="s">
        <v>182</v>
      </c>
      <c r="F10" s="41" cm="1">
        <f t="array" aca="1" ref="F10" ca="1">INDIRECT("'C Impact of Technique'!M" &amp; 5 + (ROW(A8)-1)*4)</f>
        <v>294.70452</v>
      </c>
      <c r="G10" s="41" cm="1">
        <f t="array" aca="1" ref="G10" ca="1">INDIRECT("'C Impact of Technique'!M" &amp; 6 + (ROW(A8)-1)*4)</f>
        <v>261.93711000000002</v>
      </c>
      <c r="H10" s="42" cm="1">
        <f t="array" aca="1" ref="H10" ca="1">INDIRECT("'C Impact of Technique'!Q" &amp; 5 + (ROW(D8)-1)*4)*100</f>
        <v>-11.11873343510306</v>
      </c>
      <c r="I10" s="30" t="s">
        <v>186</v>
      </c>
      <c r="J10" s="40">
        <f t="shared" ca="1" si="0"/>
        <v>-5.8178965860414147</v>
      </c>
      <c r="N10" s="76" t="s">
        <v>110</v>
      </c>
      <c r="O10" s="29" t="str" cm="1">
        <f t="array" aca="1" ref="O10" ca="1">_xlfn.TEXTJOIN(", ", TRUE, IF((D3:D25 &gt;= 25) * (D3:D25 &lt; 75), A3:A25, ""))</f>
        <v>T19</v>
      </c>
      <c r="R10" s="76" t="s">
        <v>110</v>
      </c>
      <c r="S10" s="29" t="str" cm="1">
        <f t="array" aca="1" ref="S10" ca="1">_xlfn.TEXTJOIN(", ", TRUE, IF((H3:H25 &gt;= 25) * (H3:H25 &lt; 75), A3:A25, ""))</f>
        <v>T20</v>
      </c>
    </row>
    <row r="11" spans="1:19" x14ac:dyDescent="0.25">
      <c r="A11" s="32" t="s">
        <v>7</v>
      </c>
      <c r="B11" s="48" cm="1">
        <f t="array" aca="1" ref="B11" ca="1">INDIRECT("'C Impact of Technique'!M" &amp; 3 + (ROW(A9)-1)*4)</f>
        <v>20.510729999999999</v>
      </c>
      <c r="C11" s="41" cm="1">
        <f t="array" aca="1" ref="C11" ca="1">INDIRECT("'C Impact of Technique'!M" &amp; 4 + (ROW(A9)-1)*4)</f>
        <v>18.563309999999998</v>
      </c>
      <c r="D11" s="41" cm="1">
        <f t="array" aca="1" ref="D11" ca="1">INDIRECT("'C Impact of Technique'!Q" &amp; 3 + (ROW(A9)-1)*4)*100</f>
        <v>-9.4946401225114911</v>
      </c>
      <c r="E11" s="30" t="s">
        <v>186</v>
      </c>
      <c r="F11" s="41" cm="1">
        <f t="array" aca="1" ref="F11" ca="1">INDIRECT("'C Impact of Technique'!M" &amp; 5 + (ROW(A9)-1)*4)</f>
        <v>8.7533000000000012</v>
      </c>
      <c r="G11" s="41" cm="1">
        <f t="array" aca="1" ref="G11" ca="1">INDIRECT("'C Impact of Technique'!M" &amp; 6 + (ROW(A9)-1)*4)</f>
        <v>8.9969100000000015</v>
      </c>
      <c r="H11" s="42" cm="1">
        <f t="array" aca="1" ref="H11" ca="1">INDIRECT("'C Impact of Technique'!Q" &amp; 5 + (ROW(D9)-1)*4)*100</f>
        <v>2.7830646727519941</v>
      </c>
      <c r="I11" s="30" t="s">
        <v>182</v>
      </c>
      <c r="J11" s="40">
        <f t="shared" ca="1" si="0"/>
        <v>-3.3557877248797485</v>
      </c>
      <c r="N11" s="77" t="s">
        <v>111</v>
      </c>
      <c r="O11" s="33" t="str" cm="1">
        <f t="array" aca="1" ref="O11" ca="1">_xlfn.TEXTJOIN(", ", TRUE, IF(D3:D25 &gt;= 75, A3:A25, ""))</f>
        <v>T28, T31</v>
      </c>
      <c r="R11" s="77" t="s">
        <v>111</v>
      </c>
      <c r="S11" s="33" t="str" cm="1">
        <f t="array" aca="1" ref="S11" ca="1">_xlfn.TEXTJOIN(", ", TRUE, IF(H3:H25 &gt;= 75, A3:A25, ""))</f>
        <v>T31, T49</v>
      </c>
    </row>
    <row r="12" spans="1:19" x14ac:dyDescent="0.25">
      <c r="A12" s="32" t="s">
        <v>8</v>
      </c>
      <c r="B12" s="48" cm="1">
        <f t="array" aca="1" ref="B12" ca="1">INDIRECT("'C Impact of Technique'!M" &amp; 3 + (ROW(A10)-1)*4)</f>
        <v>18.545580000000001</v>
      </c>
      <c r="C12" s="41" cm="1">
        <f t="array" aca="1" ref="C12" ca="1">INDIRECT("'C Impact of Technique'!M" &amp; 4 + (ROW(A10)-1)*4)</f>
        <v>19.578899999999997</v>
      </c>
      <c r="D12" s="41" cm="1">
        <f t="array" aca="1" ref="D12" ca="1">INDIRECT("'C Impact of Technique'!Q" &amp; 3 + (ROW(A10)-1)*4)*100</f>
        <v>5.571785837919311</v>
      </c>
      <c r="E12" s="30" t="s">
        <v>183</v>
      </c>
      <c r="F12" s="41" cm="1">
        <f t="array" aca="1" ref="F12" ca="1">INDIRECT("'C Impact of Technique'!M" &amp; 5 + (ROW(A10)-1)*4)</f>
        <v>10.665439999999998</v>
      </c>
      <c r="G12" s="41" cm="1">
        <f t="array" aca="1" ref="G12" ca="1">INDIRECT("'C Impact of Technique'!M" &amp; 6 + (ROW(A10)-1)*4)</f>
        <v>9.1800000000000015</v>
      </c>
      <c r="H12" s="42" cm="1">
        <f t="array" aca="1" ref="H12" ca="1">INDIRECT("'C Impact of Technique'!Q" &amp; 5 + (ROW(D10)-1)*4)*100</f>
        <v>-13.927601674192505</v>
      </c>
      <c r="I12" s="30" t="s">
        <v>186</v>
      </c>
      <c r="J12" s="40">
        <f t="shared" ca="1" si="0"/>
        <v>-4.1779079181365972</v>
      </c>
    </row>
    <row r="13" spans="1:19" x14ac:dyDescent="0.25">
      <c r="A13" s="32" t="s">
        <v>10</v>
      </c>
      <c r="B13" s="48" cm="1">
        <f t="array" aca="1" ref="B13" ca="1">INDIRECT("'C Impact of Technique'!M" &amp; 3 + (ROW(A11)-1)*4)</f>
        <v>673.59663</v>
      </c>
      <c r="C13" s="41" cm="1">
        <f t="array" aca="1" ref="C13" ca="1">INDIRECT("'C Impact of Technique'!M" &amp; 4 + (ROW(A11)-1)*4)</f>
        <v>887.26553000000001</v>
      </c>
      <c r="D13" s="41" cm="1">
        <f t="array" aca="1" ref="D13" ca="1">INDIRECT("'C Impact of Technique'!Q" &amp; 3 + (ROW(A11)-1)*4)*100</f>
        <v>31.720601096237672</v>
      </c>
      <c r="E13" s="30" t="s">
        <v>186</v>
      </c>
      <c r="F13" s="41" cm="1">
        <f t="array" aca="1" ref="F13" ca="1">INDIRECT("'C Impact of Technique'!M" &amp; 5 + (ROW(A11)-1)*4)</f>
        <v>46.142300000000006</v>
      </c>
      <c r="G13" s="41" cm="1">
        <f t="array" aca="1" ref="G13" ca="1">INDIRECT("'C Impact of Technique'!M" &amp; 6 + (ROW(A11)-1)*4)</f>
        <v>50.243220000000001</v>
      </c>
      <c r="H13" s="42" cm="1">
        <f t="array" aca="1" ref="H13" ca="1">INDIRECT("'C Impact of Technique'!Q" &amp; 5 + (ROW(D11)-1)*4)*100</f>
        <v>8.8875500354338524</v>
      </c>
      <c r="I13" s="30" t="s">
        <v>184</v>
      </c>
      <c r="J13" s="40">
        <f t="shared" ca="1" si="0"/>
        <v>20.304075565835763</v>
      </c>
    </row>
    <row r="14" spans="1:19" x14ac:dyDescent="0.25">
      <c r="A14" s="32" t="s">
        <v>11</v>
      </c>
      <c r="B14" s="48" cm="1">
        <f t="array" aca="1" ref="B14" ca="1">INDIRECT("'C Impact of Technique'!M" &amp; 3 + (ROW(A12)-1)*4)</f>
        <v>436.98077999999998</v>
      </c>
      <c r="C14" s="41" cm="1">
        <f t="array" aca="1" ref="C14" ca="1">INDIRECT("'C Impact of Technique'!M" &amp; 4 + (ROW(A12)-1)*4)</f>
        <v>145.37100000000001</v>
      </c>
      <c r="D14" s="41" cm="1">
        <f t="array" aca="1" ref="D14" ca="1">INDIRECT("'C Impact of Technique'!Q" &amp; 3 + (ROW(A12)-1)*4)*100</f>
        <v>-66.732861797720261</v>
      </c>
      <c r="E14" s="30" t="s">
        <v>182</v>
      </c>
      <c r="F14" s="41" cm="1">
        <f t="array" aca="1" ref="F14" ca="1">INDIRECT("'C Impact of Technique'!M" &amp; 5 + (ROW(A12)-1)*4)</f>
        <v>26.866019999999999</v>
      </c>
      <c r="G14" s="41" cm="1">
        <f t="array" aca="1" ref="G14" ca="1">INDIRECT("'C Impact of Technique'!M" &amp; 6 + (ROW(A12)-1)*4)</f>
        <v>44.187539999999998</v>
      </c>
      <c r="H14" s="42" cm="1">
        <f t="array" aca="1" ref="H14" ca="1">INDIRECT("'C Impact of Technique'!Q" &amp; 5 + (ROW(D12)-1)*4)*100</f>
        <v>64.473710657551806</v>
      </c>
      <c r="I14" s="30" t="s">
        <v>182</v>
      </c>
      <c r="J14" s="40">
        <f t="shared" ca="1" si="0"/>
        <v>-1.1295755700842278</v>
      </c>
    </row>
    <row r="15" spans="1:19" x14ac:dyDescent="0.25">
      <c r="A15" s="32" t="s">
        <v>16</v>
      </c>
      <c r="B15" s="48" cm="1">
        <f t="array" aca="1" ref="B15" ca="1">INDIRECT("'C Impact of Technique'!M" &amp; 3 + (ROW(A13)-1)*4)</f>
        <v>900.23260000000005</v>
      </c>
      <c r="C15" s="41" cm="1">
        <f t="array" aca="1" ref="C15" ca="1">INDIRECT("'C Impact of Technique'!M" &amp; 4 + (ROW(A13)-1)*4)</f>
        <v>729.22289999999998</v>
      </c>
      <c r="D15" s="41" cm="1">
        <f t="array" aca="1" ref="D15" ca="1">INDIRECT("'C Impact of Technique'!Q" &amp; 3 + (ROW(A13)-1)*4)*100</f>
        <v>-18.996168323608817</v>
      </c>
      <c r="E15" s="30" t="s">
        <v>182</v>
      </c>
      <c r="F15" s="41" cm="1">
        <f t="array" aca="1" ref="F15" ca="1">INDIRECT("'C Impact of Technique'!M" &amp; 5 + (ROW(A13)-1)*4)</f>
        <v>192.98400000000001</v>
      </c>
      <c r="G15" s="41" cm="1">
        <f t="array" aca="1" ref="G15" ca="1">INDIRECT("'C Impact of Technique'!M" &amp; 6 + (ROW(A13)-1)*4)</f>
        <v>145.28371000000001</v>
      </c>
      <c r="H15" s="42" cm="1">
        <f t="array" aca="1" ref="H15" ca="1">INDIRECT("'C Impact of Technique'!Q" &amp; 5 + (ROW(D13)-1)*4)*100</f>
        <v>-24.717225262197896</v>
      </c>
      <c r="I15" s="30" t="s">
        <v>182</v>
      </c>
      <c r="J15" s="40">
        <f t="shared" ca="1" si="0"/>
        <v>-21.856696792903357</v>
      </c>
    </row>
    <row r="16" spans="1:19" x14ac:dyDescent="0.25">
      <c r="A16" s="32" t="s">
        <v>17</v>
      </c>
      <c r="B16" s="48" cm="1">
        <f t="array" aca="1" ref="B16" ca="1">INDIRECT("'C Impact of Technique'!M" &amp; 3 + (ROW(A14)-1)*4)</f>
        <v>946.51451999999995</v>
      </c>
      <c r="C16" s="41" cm="1">
        <f t="array" aca="1" ref="C16" ca="1">INDIRECT("'C Impact of Technique'!M" &amp; 4 + (ROW(A14)-1)*4)</f>
        <v>944.87531999999999</v>
      </c>
      <c r="D16" s="41" cm="1">
        <f t="array" aca="1" ref="D16" ca="1">INDIRECT("'C Impact of Technique'!Q" &amp; 3 + (ROW(A14)-1)*4)*100</f>
        <v>-0.17318276321846177</v>
      </c>
      <c r="E16" s="30" t="s">
        <v>182</v>
      </c>
      <c r="F16" s="41" cm="1">
        <f t="array" aca="1" ref="F16" ca="1">INDIRECT("'C Impact of Technique'!M" &amp; 5 + (ROW(A14)-1)*4)</f>
        <v>238.577</v>
      </c>
      <c r="G16" s="41" cm="1">
        <f t="array" aca="1" ref="G16" ca="1">INDIRECT("'C Impact of Technique'!M" &amp; 6 + (ROW(A14)-1)*4)</f>
        <v>26.216040000000003</v>
      </c>
      <c r="H16" s="42" cm="1">
        <f t="array" aca="1" ref="H16" ca="1">INDIRECT("'C Impact of Technique'!Q" &amp; 5 + (ROW(D14)-1)*4)*100</f>
        <v>-89.011497336289764</v>
      </c>
      <c r="I16" s="30" t="s">
        <v>182</v>
      </c>
      <c r="J16" s="40">
        <f t="shared" ca="1" si="0"/>
        <v>-44.592340049754114</v>
      </c>
    </row>
    <row r="17" spans="1:12" x14ac:dyDescent="0.25">
      <c r="A17" s="32" t="s">
        <v>20</v>
      </c>
      <c r="B17" s="48" cm="1">
        <f t="array" aca="1" ref="B17" ca="1">INDIRECT("'C Impact of Technique'!M" &amp; 3 + (ROW(A15)-1)*4)</f>
        <v>344.20187999999996</v>
      </c>
      <c r="C17" s="41" cm="1">
        <f t="array" aca="1" ref="C17" ca="1">INDIRECT("'C Impact of Technique'!M" &amp; 4 + (ROW(A15)-1)*4)</f>
        <v>693.75798999999995</v>
      </c>
      <c r="D17" s="41" cm="1">
        <f t="array" aca="1" ref="D17" ca="1">INDIRECT("'C Impact of Technique'!Q" &amp; 3 + (ROW(A15)-1)*4)*100</f>
        <v>101.55554931890553</v>
      </c>
      <c r="E17" s="30" t="s">
        <v>186</v>
      </c>
      <c r="F17" s="41" cm="1">
        <f t="array" aca="1" ref="F17" ca="1">INDIRECT("'C Impact of Technique'!M" &amp; 5 + (ROW(A15)-1)*4)</f>
        <v>35.9373</v>
      </c>
      <c r="G17" s="41" cm="1">
        <f t="array" aca="1" ref="G17" ca="1">INDIRECT("'C Impact of Technique'!M" &amp; 6 + (ROW(A15)-1)*4)</f>
        <v>33.656089999999999</v>
      </c>
      <c r="H17" s="42" cm="1">
        <f t="array" aca="1" ref="H17" ca="1">INDIRECT("'C Impact of Technique'!Q" &amp; 5 + (ROW(D15)-1)*4)*100</f>
        <v>-6.3477501092180031</v>
      </c>
      <c r="I17" s="30" t="s">
        <v>182</v>
      </c>
      <c r="J17" s="40">
        <f t="shared" ca="1" si="0"/>
        <v>47.603899604843768</v>
      </c>
    </row>
    <row r="18" spans="1:12" x14ac:dyDescent="0.25">
      <c r="A18" s="32" t="s">
        <v>21</v>
      </c>
      <c r="B18" s="48" cm="1">
        <f t="array" aca="1" ref="B18" ca="1">INDIRECT("'C Impact of Technique'!M" &amp; 3 + (ROW(A16)-1)*4)</f>
        <v>14.343899999999998</v>
      </c>
      <c r="C18" s="41" cm="1">
        <f t="array" aca="1" ref="C18" ca="1">INDIRECT("'C Impact of Technique'!M" &amp; 4 + (ROW(A16)-1)*4)</f>
        <v>13.904159999999999</v>
      </c>
      <c r="D18" s="41" cm="1">
        <f t="array" aca="1" ref="D18" ca="1">INDIRECT("'C Impact of Technique'!Q" &amp; 3 + (ROW(A16)-1)*4)*100</f>
        <v>-3.0656934306569257</v>
      </c>
      <c r="E18" s="30" t="s">
        <v>182</v>
      </c>
      <c r="F18" s="41" cm="1">
        <f t="array" aca="1" ref="F18" ca="1">INDIRECT("'C Impact of Technique'!M" &amp; 5 + (ROW(A16)-1)*4)</f>
        <v>6.4452000000000007</v>
      </c>
      <c r="G18" s="41" cm="1">
        <f t="array" aca="1" ref="G18" ca="1">INDIRECT("'C Impact of Technique'!M" &amp; 6 + (ROW(A16)-1)*4)</f>
        <v>6.7571599999999998</v>
      </c>
      <c r="H18" s="42" cm="1">
        <f t="array" aca="1" ref="H18" ca="1">INDIRECT("'C Impact of Technique'!Q" &amp; 5 + (ROW(D16)-1)*4)*100</f>
        <v>4.840191150003089</v>
      </c>
      <c r="I18" s="30" t="s">
        <v>183</v>
      </c>
      <c r="J18" s="40">
        <f t="shared" ca="1" si="0"/>
        <v>0.88724885967308165</v>
      </c>
    </row>
    <row r="19" spans="1:12" x14ac:dyDescent="0.25">
      <c r="A19" s="32" t="s">
        <v>23</v>
      </c>
      <c r="B19" s="48" cm="1">
        <f t="array" aca="1" ref="B19" ca="1">INDIRECT("'C Impact of Technique'!M" &amp; 3 + (ROW(A17)-1)*4)</f>
        <v>978.72390000000007</v>
      </c>
      <c r="C19" s="41" cm="1">
        <f t="array" aca="1" ref="C19" ca="1">INDIRECT("'C Impact of Technique'!M" &amp; 4 + (ROW(A17)-1)*4)</f>
        <v>2084.87565</v>
      </c>
      <c r="D19" s="41" cm="1">
        <f t="array" aca="1" ref="D19" ca="1">INDIRECT("'C Impact of Technique'!Q" &amp; 3 + (ROW(A17)-1)*4)*100</f>
        <v>113.01979547040794</v>
      </c>
      <c r="E19" s="30" t="s">
        <v>186</v>
      </c>
      <c r="F19" s="41" cm="1">
        <f t="array" aca="1" ref="F19" ca="1">INDIRECT("'C Impact of Technique'!M" &amp; 5 + (ROW(A17)-1)*4)</f>
        <v>756.50404000000003</v>
      </c>
      <c r="G19" s="41" cm="1">
        <f t="array" aca="1" ref="G19" ca="1">INDIRECT("'C Impact of Technique'!M" &amp; 6 + (ROW(A17)-1)*4)</f>
        <v>1718.97792</v>
      </c>
      <c r="H19" s="42" cm="1">
        <f t="array" aca="1" ref="H19" ca="1">INDIRECT("'C Impact of Technique'!Q" &amp; 5 + (ROW(D17)-1)*4)*100</f>
        <v>127.22653536655271</v>
      </c>
      <c r="I19" s="30" t="s">
        <v>186</v>
      </c>
      <c r="J19" s="40">
        <f t="shared" ca="1" si="0"/>
        <v>120.12316541848033</v>
      </c>
    </row>
    <row r="20" spans="1:12" x14ac:dyDescent="0.25">
      <c r="A20" s="32" t="s">
        <v>25</v>
      </c>
      <c r="B20" s="48" cm="1">
        <f t="array" aca="1" ref="B20" ca="1">INDIRECT("'C Impact of Technique'!M" &amp; 3 + (ROW(A18)-1)*4)</f>
        <v>18.961169999999999</v>
      </c>
      <c r="C20" s="41" cm="1">
        <f t="array" aca="1" ref="C20" ca="1">INDIRECT("'C Impact of Technique'!M" &amp; 4 + (ROW(A18)-1)*4)</f>
        <v>15.87252</v>
      </c>
      <c r="D20" s="41" cm="1">
        <f t="array" aca="1" ref="D20" ca="1">INDIRECT("'C Impact of Technique'!Q" &amp; 3 + (ROW(A18)-1)*4)*100</f>
        <v>-16.289342904472665</v>
      </c>
      <c r="E20" s="30" t="s">
        <v>182</v>
      </c>
      <c r="F20" s="41" cm="1">
        <f t="array" aca="1" ref="F20" ca="1">INDIRECT("'C Impact of Technique'!M" &amp; 5 + (ROW(A18)-1)*4)</f>
        <v>7.1421200000000011</v>
      </c>
      <c r="G20" s="41" cm="1">
        <f t="array" aca="1" ref="G20" ca="1">INDIRECT("'C Impact of Technique'!M" &amp; 6 + (ROW(A18)-1)*4)</f>
        <v>7.6189599999999995</v>
      </c>
      <c r="H20" s="42" cm="1">
        <f t="array" aca="1" ref="H20" ca="1">INDIRECT("'C Impact of Technique'!Q" &amp; 5 + (ROW(D18)-1)*4)*100</f>
        <v>6.6764490095377607</v>
      </c>
      <c r="I20" s="30" t="s">
        <v>182</v>
      </c>
      <c r="J20" s="40">
        <f t="shared" ca="1" si="0"/>
        <v>-4.8064469474674523</v>
      </c>
    </row>
    <row r="21" spans="1:12" x14ac:dyDescent="0.25">
      <c r="A21" s="32" t="s">
        <v>26</v>
      </c>
      <c r="B21" s="48" cm="1">
        <f t="array" aca="1" ref="B21" ca="1">INDIRECT("'C Impact of Technique'!M" &amp; 3 + (ROW(A19)-1)*4)</f>
        <v>24.97616</v>
      </c>
      <c r="C21" s="41" cm="1">
        <f t="array" aca="1" ref="C21" ca="1">INDIRECT("'C Impact of Technique'!M" &amp; 4 + (ROW(A19)-1)*4)</f>
        <v>25.902779999999996</v>
      </c>
      <c r="D21" s="41" cm="1">
        <f t="array" aca="1" ref="D21" ca="1">INDIRECT("'C Impact of Technique'!Q" &amp; 3 + (ROW(A19)-1)*4)*100</f>
        <v>3.7100178730437197</v>
      </c>
      <c r="E21" s="30" t="s">
        <v>182</v>
      </c>
      <c r="F21" s="41" cm="1">
        <f t="array" aca="1" ref="F21" ca="1">INDIRECT("'C Impact of Technique'!M" &amp; 5 + (ROW(A19)-1)*4)</f>
        <v>20.332740000000001</v>
      </c>
      <c r="G21" s="41" cm="1">
        <f t="array" aca="1" ref="G21" ca="1">INDIRECT("'C Impact of Technique'!M" &amp; 6 + (ROW(A19)-1)*4)</f>
        <v>21.547259999999998</v>
      </c>
      <c r="H21" s="42" cm="1">
        <f t="array" aca="1" ref="H21" ca="1">INDIRECT("'C Impact of Technique'!Q" &amp; 5 + (ROW(D19)-1)*4)*100</f>
        <v>5.9732234809474605</v>
      </c>
      <c r="I21" s="30" t="s">
        <v>184</v>
      </c>
      <c r="J21" s="40">
        <f t="shared" ca="1" si="0"/>
        <v>4.8416206769955901</v>
      </c>
    </row>
    <row r="22" spans="1:12" x14ac:dyDescent="0.25">
      <c r="A22" s="32" t="s">
        <v>29</v>
      </c>
      <c r="B22" s="48" cm="1">
        <f t="array" aca="1" ref="B22" ca="1">INDIRECT("'C Impact of Technique'!M" &amp; 3 + (ROW(A20)-1)*4)</f>
        <v>178.74303</v>
      </c>
      <c r="C22" s="41" cm="1">
        <f t="array" aca="1" ref="C22" ca="1">INDIRECT("'C Impact of Technique'!M" &amp; 4 + (ROW(A20)-1)*4)</f>
        <v>171.01735000000002</v>
      </c>
      <c r="D22" s="41" cm="1">
        <f t="array" aca="1" ref="D22" ca="1">INDIRECT("'C Impact of Technique'!Q" &amp; 3 + (ROW(A20)-1)*4)*100</f>
        <v>-4.3222272778972037</v>
      </c>
      <c r="E22" s="30" t="s">
        <v>186</v>
      </c>
      <c r="F22" s="41" cm="1">
        <f t="array" aca="1" ref="F22" ca="1">INDIRECT("'C Impact of Technique'!M" &amp; 5 + (ROW(A20)-1)*4)</f>
        <v>5.2979900000000004</v>
      </c>
      <c r="G22" s="41" cm="1">
        <f t="array" aca="1" ref="G22" ca="1">INDIRECT("'C Impact of Technique'!M" &amp; 6 + (ROW(A20)-1)*4)</f>
        <v>5.8314500000000002</v>
      </c>
      <c r="H22" s="42" cm="1">
        <f t="array" aca="1" ref="H22" ca="1">INDIRECT("'C Impact of Technique'!Q" &amp; 5 + (ROW(D20)-1)*4)*100</f>
        <v>10.069101678183609</v>
      </c>
      <c r="I22" s="30" t="s">
        <v>184</v>
      </c>
      <c r="J22" s="40">
        <f t="shared" ca="1" si="0"/>
        <v>2.8734372001432025</v>
      </c>
    </row>
    <row r="23" spans="1:12" x14ac:dyDescent="0.25">
      <c r="A23" s="32" t="s">
        <v>33</v>
      </c>
      <c r="B23" s="48" cm="1">
        <f t="array" aca="1" ref="B23" ca="1">INDIRECT("'C Impact of Technique'!M" &amp; 3 + (ROW(A21)-1)*4)</f>
        <v>625.08848</v>
      </c>
      <c r="C23" s="41" cm="1">
        <f t="array" aca="1" ref="C23" ca="1">INDIRECT("'C Impact of Technique'!M" &amp; 4 + (ROW(A21)-1)*4)</f>
        <v>542.62944000000005</v>
      </c>
      <c r="D23" s="41" cm="1">
        <f t="array" aca="1" ref="D23" ca="1">INDIRECT("'C Impact of Technique'!Q" &amp; 3 + (ROW(A21)-1)*4)*100</f>
        <v>-13.191578894559047</v>
      </c>
      <c r="E23" s="30" t="s">
        <v>182</v>
      </c>
      <c r="F23" s="41" cm="1">
        <f t="array" aca="1" ref="F23" ca="1">INDIRECT("'C Impact of Technique'!M" &amp; 5 + (ROW(A21)-1)*4)</f>
        <v>263.63058000000001</v>
      </c>
      <c r="G23" s="41" cm="1">
        <f t="array" aca="1" ref="G23" ca="1">INDIRECT("'C Impact of Technique'!M" &amp; 6 + (ROW(A21)-1)*4)</f>
        <v>52.135620000000003</v>
      </c>
      <c r="H23" s="42" cm="1">
        <f t="array" aca="1" ref="H23" ca="1">INDIRECT("'C Impact of Technique'!Q" &amp; 5 + (ROW(D21)-1)*4)*100</f>
        <v>-80.223986155172128</v>
      </c>
      <c r="I23" s="30" t="s">
        <v>184</v>
      </c>
      <c r="J23" s="40">
        <f t="shared" ca="1" si="0"/>
        <v>-46.707782524865586</v>
      </c>
    </row>
    <row r="24" spans="1:12" x14ac:dyDescent="0.25">
      <c r="A24" s="32" t="s">
        <v>37</v>
      </c>
      <c r="B24" s="48" cm="1">
        <f t="array" aca="1" ref="B24" ca="1">INDIRECT("'C Impact of Technique'!M" &amp; 3 + (ROW(A22)-1)*4)</f>
        <v>4.0584800000000003</v>
      </c>
      <c r="C24" s="41" cm="1">
        <f t="array" aca="1" ref="C24" ca="1">INDIRECT("'C Impact of Technique'!M" &amp; 4 + (ROW(A22)-1)*4)</f>
        <v>3.52502</v>
      </c>
      <c r="D24" s="41" cm="1">
        <f t="array" aca="1" ref="D24" ca="1">INDIRECT("'C Impact of Technique'!Q" &amp; 3 + (ROW(A22)-1)*4)*100</f>
        <v>-13.144329896907223</v>
      </c>
      <c r="E24" s="30" t="s">
        <v>182</v>
      </c>
      <c r="F24" s="41" cm="1">
        <f t="array" aca="1" ref="F24" ca="1">INDIRECT("'C Impact of Technique'!M" &amp; 5 + (ROW(A22)-1)*4)</f>
        <v>3.661</v>
      </c>
      <c r="G24" s="41" cm="1">
        <f t="array" aca="1" ref="G24" ca="1">INDIRECT("'C Impact of Technique'!M" &amp; 6 + (ROW(A22)-1)*4)</f>
        <v>4.2206100000000006</v>
      </c>
      <c r="H24" s="42" cm="1">
        <f t="array" aca="1" ref="H24" ca="1">INDIRECT("'C Impact of Technique'!Q" &amp; 5 + (ROW(D22)-1)*4)*100</f>
        <v>15.285714285714302</v>
      </c>
      <c r="I24" s="30" t="s">
        <v>182</v>
      </c>
      <c r="J24" s="40">
        <f t="shared" ca="1" si="0"/>
        <v>1.0706921944035397</v>
      </c>
    </row>
    <row r="25" spans="1:12" x14ac:dyDescent="0.25">
      <c r="A25" s="32" t="s">
        <v>39</v>
      </c>
      <c r="B25" s="48" cm="1">
        <f t="array" aca="1" ref="B25" ca="1">INDIRECT("'C Impact of Technique'!M" &amp; 3 + (ROW(A23)-1)*4)</f>
        <v>417.29231999999996</v>
      </c>
      <c r="C25" s="41" cm="1">
        <f t="array" aca="1" ref="C25" ca="1">INDIRECT("'C Impact of Technique'!M" &amp; 4 + (ROW(A23)-1)*4)</f>
        <v>175.72839000000002</v>
      </c>
      <c r="D25" s="41" cm="1">
        <f t="array" aca="1" ref="D25" ca="1">INDIRECT("'C Impact of Technique'!Q" &amp; 3 + (ROW(A23)-1)*4)*100</f>
        <v>-57.888419801255864</v>
      </c>
      <c r="E25" s="30" t="s">
        <v>184</v>
      </c>
      <c r="F25" s="41" cm="1">
        <f t="array" aca="1" ref="F25" ca="1">INDIRECT("'C Impact of Technique'!M" &amp; 5 + (ROW(A23)-1)*4)</f>
        <v>7.2540100000000001</v>
      </c>
      <c r="G25" s="41" cm="1">
        <f t="array" aca="1" ref="G25" ca="1">INDIRECT("'C Impact of Technique'!M" &amp; 6 + (ROW(A23)-1)*4)</f>
        <v>40.786880000000004</v>
      </c>
      <c r="H25" s="42" cm="1">
        <f t="array" aca="1" ref="H25" ca="1">INDIRECT("'C Impact of Technique'!Q" &amp; 5 + (ROW(D23)-1)*4)*100</f>
        <v>462.26666354195822</v>
      </c>
      <c r="I25" s="30" t="s">
        <v>183</v>
      </c>
      <c r="J25" s="40">
        <f t="shared" ca="1" si="0"/>
        <v>202.18912187035119</v>
      </c>
    </row>
    <row r="32" spans="1:12" x14ac:dyDescent="0.25">
      <c r="D32" s="115" t="s">
        <v>90</v>
      </c>
      <c r="E32" s="116"/>
      <c r="F32" s="116"/>
      <c r="G32" s="117"/>
      <c r="I32" s="115" t="s">
        <v>91</v>
      </c>
      <c r="J32" s="116"/>
      <c r="K32" s="116"/>
      <c r="L32" s="117"/>
    </row>
    <row r="33" spans="4:12" x14ac:dyDescent="0.25">
      <c r="D33" s="38" t="s">
        <v>100</v>
      </c>
      <c r="E33" s="58" t="s">
        <v>190</v>
      </c>
      <c r="F33" s="58" t="s">
        <v>191</v>
      </c>
      <c r="G33" s="59" t="s">
        <v>192</v>
      </c>
      <c r="I33" s="38" t="s">
        <v>100</v>
      </c>
      <c r="J33" s="58" t="s">
        <v>190</v>
      </c>
      <c r="K33" s="58" t="s">
        <v>191</v>
      </c>
      <c r="L33" s="59" t="s">
        <v>192</v>
      </c>
    </row>
    <row r="34" spans="4:12" x14ac:dyDescent="0.25">
      <c r="D34" s="67" t="s">
        <v>187</v>
      </c>
      <c r="E34" s="1" cm="1">
        <f t="array" aca="1" ref="E34" ca="1">AVERAGE(_xlfn._xlws.FILTER($D$3:$D$25, ISNUMBER(MATCH($A$3:$A$25, _xlfn.TEXTSPLIT(_xlfn.TEXTJOIN(", ", TRUE, O5:O7), ", "), 0))))</f>
        <v>-28.825900265411061</v>
      </c>
      <c r="F34" s="1" cm="1">
        <f t="array" aca="1" ref="F34" ca="1">MIN(_xlfn._xlws.FILTER($D$3:$D$25, ISNUMBER(MATCH($A$3:$A$25, _xlfn.TEXTSPLIT(_xlfn.TEXTJOIN(", ", TRUE, O5:O7), ", "), 0))))</f>
        <v>-99.694507088738789</v>
      </c>
      <c r="G34" s="64" cm="1">
        <f t="array" aca="1" ref="G34" ca="1">MAX(_xlfn._xlws.FILTER($D$3:$D$25, ISNUMBER(MATCH($A$3:$A$25, _xlfn.TEXTSPLIT(_xlfn.TEXTJOIN(", ", TRUE, O5:O7), ", "), 0))))</f>
        <v>-3.0656934306569257</v>
      </c>
      <c r="I34" s="67" t="s">
        <v>187</v>
      </c>
      <c r="J34" s="1" cm="1">
        <f t="array" aca="1" ref="J34" ca="1">AVERAGE(_xlfn._xlws.FILTER($H$3:$H$25, ISNUMBER(MATCH($A$3:$A$25, _xlfn.TEXTSPLIT(_xlfn.TEXTJOIN(", ", TRUE, S5:S7), ", "), 0))))</f>
        <v>-47.721318331823191</v>
      </c>
      <c r="K34" s="1" cm="1">
        <f t="array" aca="1" ref="K34" ca="1">MIN(_xlfn._xlws.FILTER($H$3:$H$25, ISNUMBER(MATCH($A$3:$A$25, _xlfn.TEXTSPLIT(_xlfn.TEXTJOIN(", ", TRUE, S5:S7), ", "), 0))))</f>
        <v>-99.87045196856225</v>
      </c>
      <c r="L34" s="64" cm="1">
        <f t="array" aca="1" ref="L34" ca="1">MAX(_xlfn._xlws.FILTER($H$3:$H$25, ISNUMBER(MATCH($A$3:$A$25, _xlfn.TEXTSPLIT(_xlfn.TEXTJOIN(", ", TRUE, S5:S7), ", "), 0))))</f>
        <v>-3.0946806012957415</v>
      </c>
    </row>
    <row r="35" spans="4:12" x14ac:dyDescent="0.25">
      <c r="D35" s="68" t="s">
        <v>188</v>
      </c>
      <c r="E35" s="1" cm="1">
        <f t="array" aca="1" ref="E35" ca="1">AVERAGE(_xlfn._xlws.FILTER($D$3:$D$25, ISNUMBER(MATCH($A$3:$A$25, _xlfn.TEXTSPLIT(_xlfn.TEXTJOIN(", ", TRUE, O8), ", "), 0))))</f>
        <v>-0.34512125009911576</v>
      </c>
      <c r="F35" s="1" cm="1">
        <f t="array" aca="1" ref="F35" ca="1">MIN(_xlfn._xlws.FILTER($D$3:$D$25, ISNUMBER(MATCH($A$3:$A$25, _xlfn.TEXTSPLIT(_xlfn.TEXTJOIN(", ", TRUE, O8), ", "), 0))))</f>
        <v>-0.51705973697976981</v>
      </c>
      <c r="G35" s="64" cm="1">
        <f t="array" aca="1" ref="G35" ca="1">MAX(_xlfn._xlws.FILTER($D$3:$D$25, ISNUMBER(MATCH($A$3:$A$25, _xlfn.TEXTSPLIT(_xlfn.TEXTJOIN(", ", TRUE, O8), ", "), 0))))</f>
        <v>-0.17318276321846177</v>
      </c>
      <c r="I35" s="68" t="s">
        <v>188</v>
      </c>
      <c r="J35" s="1" cm="1">
        <f t="array" aca="1" ref="J35" ca="1">AVERAGE(_xlfn._xlws.FILTER($H$3:$H$25, ISNUMBER(MATCH($A$3:$A$25, _xlfn.TEXTSPLIT(_xlfn.TEXTJOIN(", ", TRUE, S8), ", "), 0))))</f>
        <v>2.7830646727519941</v>
      </c>
      <c r="K35" s="1" cm="1">
        <f t="array" aca="1" ref="K35" ca="1">MIN(_xlfn._xlws.FILTER($H$3:$H$25, ISNUMBER(MATCH($A$3:$A$25, _xlfn.TEXTSPLIT(_xlfn.TEXTJOIN(", ", TRUE, S8), ", "), 0))))</f>
        <v>2.7830646727519941</v>
      </c>
      <c r="L35" s="64" cm="1">
        <f t="array" aca="1" ref="L35" ca="1">MAX(_xlfn._xlws.FILTER($H$3:$H$25, ISNUMBER(MATCH($A$3:$A$25, _xlfn.TEXTSPLIT(_xlfn.TEXTJOIN(", ", TRUE, S8), ", "), 0))))</f>
        <v>2.7830646727519941</v>
      </c>
    </row>
    <row r="36" spans="4:12" x14ac:dyDescent="0.25">
      <c r="D36" s="6" t="s">
        <v>189</v>
      </c>
      <c r="E36" s="66" cm="1">
        <f t="array" aca="1" ref="E36" ca="1">AVERAGE(_xlfn._xlws.FILTER($D$3:$D$25, ISNUMBER(MATCH($A$3:$A$25, _xlfn.TEXTSPLIT(_xlfn.TEXTJOIN(", ", TRUE, O9:O11), ", "), 0))))</f>
        <v>45.689041576832473</v>
      </c>
      <c r="F36" s="66" cm="1">
        <f t="array" aca="1" ref="F36" ca="1">MIN(_xlfn._xlws.FILTER($D$3:$D$25, ISNUMBER(MATCH($A$3:$A$25, _xlfn.TEXTSPLIT(_xlfn.TEXTJOIN(", ", TRUE, O9:O11), ", "), 0))))</f>
        <v>3.7100178730437197</v>
      </c>
      <c r="G36" s="65" cm="1">
        <f t="array" aca="1" ref="G36" ca="1">MAX(_xlfn._xlws.FILTER($D$3:$D$25, ISNUMBER(MATCH($A$3:$A$25, _xlfn.TEXTSPLIT(_xlfn.TEXTJOIN(", ", TRUE, O9:O11), ", "), 0))))</f>
        <v>113.01979547040794</v>
      </c>
      <c r="I36" s="6" t="s">
        <v>189</v>
      </c>
      <c r="J36" s="66" cm="1">
        <f t="array" aca="1" ref="J36" ca="1">AVERAGE(_xlfn._xlws.FILTER($H$3:$H$25, ISNUMBER(MATCH($A$3:$A$25, _xlfn.TEXTSPLIT(_xlfn.TEXTJOIN(", ", TRUE, S9:S11), ", "), 0))))</f>
        <v>71.325412058285366</v>
      </c>
      <c r="K36" s="66" cm="1">
        <f t="array" aca="1" ref="K36" ca="1">MIN(_xlfn._xlws.FILTER($H$3:$H$25, ISNUMBER(MATCH($A$3:$A$25, _xlfn.TEXTSPLIT(_xlfn.TEXTJOIN(", ", TRUE, S9:S11), ", "), 0))))</f>
        <v>4.840191150003089</v>
      </c>
      <c r="L36" s="65" cm="1">
        <f t="array" aca="1" ref="L36" ca="1">MAX(_xlfn._xlws.FILTER($H$3:$H$25, ISNUMBER(MATCH($A$3:$A$25, _xlfn.TEXTSPLIT(_xlfn.TEXTJOIN(", ", TRUE, S9:S11), ", "), 0))))</f>
        <v>462.26666354195822</v>
      </c>
    </row>
  </sheetData>
  <mergeCells count="6">
    <mergeCell ref="R3:S3"/>
    <mergeCell ref="N3:O3"/>
    <mergeCell ref="B1:E1"/>
    <mergeCell ref="F1:I1"/>
    <mergeCell ref="D32:G32"/>
    <mergeCell ref="I32:L32"/>
  </mergeCells>
  <phoneticPr fontId="2" type="noConversion"/>
  <conditionalFormatting sqref="D3:D25">
    <cfRule type="expression" dxfId="69" priority="8">
      <formula>AND(D3 &gt; -3, D3 &lt; 3)</formula>
    </cfRule>
    <cfRule type="expression" dxfId="68" priority="9">
      <formula>AND(D3 &gt; -25, D3 &lt;= -3)</formula>
    </cfRule>
    <cfRule type="expression" dxfId="67" priority="10">
      <formula>AND(D3 &gt; -75, D3 &lt;= -25)</formula>
    </cfRule>
    <cfRule type="expression" dxfId="66" priority="11">
      <formula>D3 &lt;= -75</formula>
    </cfRule>
    <cfRule type="expression" dxfId="65" priority="12">
      <formula>AND(D3 &lt; 25, D3 &gt;= 3)</formula>
    </cfRule>
    <cfRule type="expression" dxfId="64" priority="13">
      <formula>AND(D3 &lt; 75, D3 &gt;= 25)</formula>
    </cfRule>
    <cfRule type="expression" dxfId="63" priority="14">
      <formula>D3 &gt;= 75</formula>
    </cfRule>
  </conditionalFormatting>
  <conditionalFormatting sqref="H3:H25">
    <cfRule type="expression" dxfId="62" priority="1">
      <formula>AND(H3 &gt; -3, H3 &lt; 3)</formula>
    </cfRule>
    <cfRule type="expression" dxfId="61" priority="2">
      <formula>AND(H3 &gt; -25, H3 &lt;= -3)</formula>
    </cfRule>
    <cfRule type="expression" dxfId="60" priority="3">
      <formula>AND(H3 &gt; -75, H3 &lt;= -25)</formula>
    </cfRule>
    <cfRule type="expression" dxfId="59" priority="4">
      <formula>H3 &lt;= -75</formula>
    </cfRule>
    <cfRule type="expression" dxfId="58" priority="5">
      <formula>AND(H3 &lt; 25, H3 &gt;= 3)</formula>
    </cfRule>
    <cfRule type="expression" dxfId="57" priority="6">
      <formula>AND(H3 &lt; 75, H3 &gt;= 25)</formula>
    </cfRule>
    <cfRule type="expression" dxfId="56" priority="7">
      <formula>H3 &gt;= 75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3D88-50AE-498F-84BA-6694B78E5C49}">
  <dimension ref="A1:Q94"/>
  <sheetViews>
    <sheetView topLeftCell="A91" zoomScale="115" zoomScaleNormal="115" workbookViewId="0">
      <selection activeCell="C95" sqref="A95:XFD102"/>
    </sheetView>
  </sheetViews>
  <sheetFormatPr baseColWidth="10" defaultColWidth="9.140625" defaultRowHeight="15" x14ac:dyDescent="0.25"/>
  <cols>
    <col min="1" max="1" width="10.28515625" bestFit="1" customWidth="1"/>
    <col min="3" max="3" width="12.7109375" bestFit="1" customWidth="1"/>
    <col min="10" max="10" width="9" bestFit="1" customWidth="1"/>
    <col min="13" max="13" width="11.85546875" customWidth="1"/>
    <col min="17" max="17" width="8.7109375" bestFit="1" customWidth="1"/>
  </cols>
  <sheetData>
    <row r="1" spans="1:17" x14ac:dyDescent="0.25">
      <c r="A1" s="121" t="s">
        <v>45</v>
      </c>
      <c r="B1" s="121" t="s">
        <v>46</v>
      </c>
      <c r="C1" s="121" t="s">
        <v>47</v>
      </c>
      <c r="D1" s="121" t="s">
        <v>48</v>
      </c>
      <c r="E1" s="121" t="s">
        <v>49</v>
      </c>
      <c r="F1" s="121"/>
      <c r="G1" s="121"/>
      <c r="H1" s="118" t="s">
        <v>50</v>
      </c>
      <c r="I1" s="119"/>
      <c r="J1" s="120"/>
      <c r="K1" s="121" t="s">
        <v>51</v>
      </c>
      <c r="L1" s="121"/>
      <c r="M1" s="121"/>
      <c r="N1" s="121" t="s">
        <v>52</v>
      </c>
      <c r="O1" s="121"/>
      <c r="P1" s="121"/>
      <c r="Q1" s="121"/>
    </row>
    <row r="2" spans="1:17" x14ac:dyDescent="0.25">
      <c r="A2" s="121"/>
      <c r="B2" s="121"/>
      <c r="C2" s="121"/>
      <c r="D2" s="121"/>
      <c r="E2" s="16" t="s">
        <v>53</v>
      </c>
      <c r="F2" s="16" t="s">
        <v>54</v>
      </c>
      <c r="G2" s="16" t="s">
        <v>55</v>
      </c>
      <c r="H2" s="16" t="s">
        <v>56</v>
      </c>
      <c r="I2" s="16" t="s">
        <v>57</v>
      </c>
      <c r="J2" s="16" t="s">
        <v>58</v>
      </c>
      <c r="K2" s="16" t="s">
        <v>56</v>
      </c>
      <c r="L2" s="16" t="s">
        <v>57</v>
      </c>
      <c r="M2" s="16" t="s">
        <v>58</v>
      </c>
      <c r="N2" s="16" t="s">
        <v>48</v>
      </c>
      <c r="O2" s="16" t="s">
        <v>56</v>
      </c>
      <c r="P2" s="16" t="s">
        <v>57</v>
      </c>
      <c r="Q2" s="16" t="s">
        <v>58</v>
      </c>
    </row>
    <row r="3" spans="1:17" x14ac:dyDescent="0.25">
      <c r="A3" s="122" t="s">
        <v>101</v>
      </c>
      <c r="B3" s="122" t="s">
        <v>59</v>
      </c>
      <c r="C3" s="5" t="s">
        <v>60</v>
      </c>
      <c r="D3" s="12">
        <v>4.7110000000000003</v>
      </c>
      <c r="E3" s="13">
        <v>1.86</v>
      </c>
      <c r="F3" s="13">
        <v>22.25</v>
      </c>
      <c r="G3" s="14">
        <v>140.24</v>
      </c>
      <c r="H3" s="13">
        <v>8.7624600000000008</v>
      </c>
      <c r="I3" s="13">
        <v>104.81975000000001</v>
      </c>
      <c r="J3" s="13">
        <v>660.67064000000005</v>
      </c>
      <c r="K3" s="15">
        <v>6.7838400000000005</v>
      </c>
      <c r="L3" s="13">
        <v>102.08737000000002</v>
      </c>
      <c r="M3" s="14">
        <v>221.55833000000001</v>
      </c>
      <c r="N3" s="125">
        <f>(D4-D3)/D3</f>
        <v>-0.333474846104861</v>
      </c>
      <c r="O3" s="126">
        <f>(K4-K3)/K3</f>
        <v>-0.32884619920281144</v>
      </c>
      <c r="P3" s="126">
        <f>(L4-L3)/L3</f>
        <v>-0.42974728411555718</v>
      </c>
      <c r="Q3" s="127">
        <f>(M4-M3)/M3</f>
        <v>-0.4644272684308462</v>
      </c>
    </row>
    <row r="4" spans="1:17" x14ac:dyDescent="0.25">
      <c r="A4" s="123"/>
      <c r="B4" s="124"/>
      <c r="C4" s="5" t="s">
        <v>61</v>
      </c>
      <c r="D4" s="12">
        <v>3.14</v>
      </c>
      <c r="E4" s="13">
        <v>1.87</v>
      </c>
      <c r="F4" s="13">
        <v>19.12</v>
      </c>
      <c r="G4" s="14">
        <v>131</v>
      </c>
      <c r="H4" s="13">
        <v>5.8718000000000004</v>
      </c>
      <c r="I4" s="13">
        <v>60.036800000000007</v>
      </c>
      <c r="J4" s="13">
        <v>411.34000000000003</v>
      </c>
      <c r="K4" s="15">
        <v>4.5529999999999999</v>
      </c>
      <c r="L4" s="13">
        <v>58.215600000000002</v>
      </c>
      <c r="M4" s="14">
        <v>118.6606</v>
      </c>
      <c r="N4" s="107"/>
      <c r="O4" s="108"/>
      <c r="P4" s="108"/>
      <c r="Q4" s="109"/>
    </row>
    <row r="5" spans="1:17" x14ac:dyDescent="0.25">
      <c r="A5" s="123"/>
      <c r="B5" s="122" t="s">
        <v>62</v>
      </c>
      <c r="C5" s="5" t="s">
        <v>60</v>
      </c>
      <c r="D5" s="12">
        <v>3.6640000000000001</v>
      </c>
      <c r="E5" s="13">
        <v>1.87</v>
      </c>
      <c r="F5" s="13">
        <v>19.5</v>
      </c>
      <c r="G5" s="14">
        <v>132.07</v>
      </c>
      <c r="H5" s="13">
        <v>6.8516800000000009</v>
      </c>
      <c r="I5" s="13">
        <v>71.448000000000008</v>
      </c>
      <c r="J5" s="13">
        <v>483.90447999999998</v>
      </c>
      <c r="K5" s="15">
        <v>5.3128000000000002</v>
      </c>
      <c r="L5" s="13">
        <v>69.322880000000012</v>
      </c>
      <c r="M5" s="14">
        <v>142.38303999999999</v>
      </c>
      <c r="N5" s="107">
        <f>(D6-D5)/D5</f>
        <v>-0.71370087336244548</v>
      </c>
      <c r="O5" s="108">
        <f>(K6-K5)/K5</f>
        <v>-0.69593058274356279</v>
      </c>
      <c r="P5" s="108">
        <f>(L6-L5)/L5</f>
        <v>-0.82522437036660923</v>
      </c>
      <c r="Q5" s="109">
        <f>(M6-M5)/M5</f>
        <v>-0.85029340573146917</v>
      </c>
    </row>
    <row r="6" spans="1:17" x14ac:dyDescent="0.25">
      <c r="A6" s="124"/>
      <c r="B6" s="124"/>
      <c r="C6" s="5" t="s">
        <v>61</v>
      </c>
      <c r="D6" s="12">
        <v>1.0489999999999999</v>
      </c>
      <c r="E6" s="13">
        <v>1.96</v>
      </c>
      <c r="F6" s="13">
        <v>12.13</v>
      </c>
      <c r="G6" s="14">
        <v>113.52</v>
      </c>
      <c r="H6" s="13">
        <v>2.0560399999999999</v>
      </c>
      <c r="I6" s="13">
        <v>12.72437</v>
      </c>
      <c r="J6" s="13">
        <v>119.08247999999999</v>
      </c>
      <c r="K6" s="15">
        <v>1.6154599999999999</v>
      </c>
      <c r="L6" s="13">
        <v>12.11595</v>
      </c>
      <c r="M6" s="14">
        <v>21.31568</v>
      </c>
      <c r="N6" s="107"/>
      <c r="O6" s="108"/>
      <c r="P6" s="108"/>
      <c r="Q6" s="109"/>
    </row>
    <row r="7" spans="1:17" x14ac:dyDescent="0.25">
      <c r="A7" s="110" t="s">
        <v>103</v>
      </c>
      <c r="B7" s="110" t="s">
        <v>59</v>
      </c>
      <c r="C7" s="5" t="s">
        <v>60</v>
      </c>
      <c r="D7" s="12">
        <v>2.0939999999999999</v>
      </c>
      <c r="E7" s="13">
        <v>1.93</v>
      </c>
      <c r="F7" s="13">
        <v>15.48</v>
      </c>
      <c r="G7" s="14">
        <v>121.16</v>
      </c>
      <c r="H7">
        <v>4.0414199999999996</v>
      </c>
      <c r="I7">
        <v>32.415120000000002</v>
      </c>
      <c r="J7">
        <v>253.70903999999999</v>
      </c>
      <c r="K7" s="15">
        <v>3.16194</v>
      </c>
      <c r="L7" s="13">
        <v>31.200599999999998</v>
      </c>
      <c r="M7" s="14">
        <v>63.531959999999998</v>
      </c>
      <c r="N7" s="107">
        <f>(D8-D7)/D7</f>
        <v>-4.7755491881561126E-4</v>
      </c>
      <c r="O7" s="108">
        <f>(K8-K7)/K7</f>
        <v>6.1417990221193999E-3</v>
      </c>
      <c r="P7" s="108">
        <f>(L8-L7)/L7</f>
        <v>-5.8441183823386856E-3</v>
      </c>
      <c r="Q7" s="109">
        <f>(M8-M7)/M7</f>
        <v>-6.7369242189285593E-3</v>
      </c>
    </row>
    <row r="8" spans="1:17" x14ac:dyDescent="0.25">
      <c r="A8" s="110"/>
      <c r="B8" s="110"/>
      <c r="C8" s="5" t="s">
        <v>61</v>
      </c>
      <c r="D8" s="12">
        <v>2.093</v>
      </c>
      <c r="E8" s="13">
        <v>1.94</v>
      </c>
      <c r="F8" s="13">
        <v>15.4</v>
      </c>
      <c r="G8" s="14">
        <v>120.98</v>
      </c>
      <c r="H8">
        <v>4.0604199999999997</v>
      </c>
      <c r="I8">
        <v>32.232199999999999</v>
      </c>
      <c r="J8">
        <v>253.21114</v>
      </c>
      <c r="K8" s="15">
        <v>3.1813600000000002</v>
      </c>
      <c r="L8" s="13">
        <v>31.018260000000001</v>
      </c>
      <c r="M8" s="14">
        <v>63.103949999999998</v>
      </c>
      <c r="N8" s="107"/>
      <c r="O8" s="108"/>
      <c r="P8" s="108"/>
      <c r="Q8" s="109"/>
    </row>
    <row r="9" spans="1:17" x14ac:dyDescent="0.25">
      <c r="A9" s="110"/>
      <c r="B9" s="110" t="s">
        <v>62</v>
      </c>
      <c r="C9" s="5" t="s">
        <v>60</v>
      </c>
      <c r="D9" s="12">
        <v>1.046</v>
      </c>
      <c r="E9" s="13">
        <v>1.98</v>
      </c>
      <c r="F9" s="13">
        <v>15.2</v>
      </c>
      <c r="G9" s="14">
        <v>116.92</v>
      </c>
      <c r="H9">
        <v>2.0710800000000003</v>
      </c>
      <c r="I9">
        <v>15.8992</v>
      </c>
      <c r="J9">
        <v>122.29832</v>
      </c>
      <c r="K9" s="15">
        <v>1.6317600000000001</v>
      </c>
      <c r="L9" s="13">
        <v>15.29252</v>
      </c>
      <c r="M9" s="14">
        <v>27.300600000000003</v>
      </c>
      <c r="N9" s="107">
        <f>(D10-D9)/D9</f>
        <v>9.5602294455056391E-4</v>
      </c>
      <c r="O9" s="108">
        <f>(K10-K9)/K9</f>
        <v>7.372407707015592E-3</v>
      </c>
      <c r="P9" s="108">
        <f>(L10-L9)/L9</f>
        <v>-1.4106242790593115E-2</v>
      </c>
      <c r="Q9" s="109">
        <f>(M10-M9)/M9</f>
        <v>4.0840860640425324E-2</v>
      </c>
    </row>
    <row r="10" spans="1:17" x14ac:dyDescent="0.25">
      <c r="A10" s="110"/>
      <c r="B10" s="110"/>
      <c r="C10" s="5" t="s">
        <v>61</v>
      </c>
      <c r="D10" s="12">
        <v>1.0469999999999999</v>
      </c>
      <c r="E10" s="13">
        <v>1.99</v>
      </c>
      <c r="F10" s="13">
        <v>14.98</v>
      </c>
      <c r="G10" s="14">
        <v>117.96</v>
      </c>
      <c r="H10">
        <v>2.0835299999999997</v>
      </c>
      <c r="I10">
        <v>15.684059999999999</v>
      </c>
      <c r="J10">
        <v>123.50411999999999</v>
      </c>
      <c r="K10" s="15">
        <v>1.6437899999999999</v>
      </c>
      <c r="L10" s="13">
        <v>15.076799999999999</v>
      </c>
      <c r="M10" s="14">
        <v>28.415579999999999</v>
      </c>
      <c r="N10" s="107"/>
      <c r="O10" s="108"/>
      <c r="P10" s="108"/>
      <c r="Q10" s="109"/>
    </row>
    <row r="11" spans="1:17" x14ac:dyDescent="0.25">
      <c r="A11" s="110" t="s">
        <v>105</v>
      </c>
      <c r="B11" s="110" t="s">
        <v>59</v>
      </c>
      <c r="C11" s="5" t="s">
        <v>60</v>
      </c>
      <c r="D11" s="12">
        <v>4.7110000000000003</v>
      </c>
      <c r="E11" s="13">
        <v>1.83</v>
      </c>
      <c r="F11" s="13">
        <v>25.14</v>
      </c>
      <c r="G11" s="14">
        <v>144.19999999999999</v>
      </c>
      <c r="H11">
        <v>8.6211300000000008</v>
      </c>
      <c r="I11">
        <v>118.43454000000001</v>
      </c>
      <c r="J11">
        <v>679.32619999999997</v>
      </c>
      <c r="K11" s="15">
        <v>6.6425099999999997</v>
      </c>
      <c r="L11" s="13">
        <v>115.70216000000001</v>
      </c>
      <c r="M11" s="14">
        <v>243.32315</v>
      </c>
      <c r="N11" s="107">
        <f>(D12-D11)/D11</f>
        <v>3.8575673954574401</v>
      </c>
      <c r="O11" s="108">
        <f>(K12-K11)/K11</f>
        <v>4.0298215584169235</v>
      </c>
      <c r="P11" s="108">
        <f>(L12-L11)/L11</f>
        <v>3.260260655462266</v>
      </c>
      <c r="Q11" s="109">
        <f>(M12-M11)/M11</f>
        <v>3.6299717885453977</v>
      </c>
    </row>
    <row r="12" spans="1:17" x14ac:dyDescent="0.25">
      <c r="A12" s="110"/>
      <c r="B12" s="110"/>
      <c r="C12" s="5" t="s">
        <v>61</v>
      </c>
      <c r="D12" s="12">
        <v>22.884</v>
      </c>
      <c r="E12" s="13">
        <v>1.88</v>
      </c>
      <c r="F12" s="13">
        <v>22.12</v>
      </c>
      <c r="G12" s="14">
        <v>141.77000000000001</v>
      </c>
      <c r="H12">
        <v>43.021920000000001</v>
      </c>
      <c r="I12">
        <v>506.19408000000004</v>
      </c>
      <c r="J12">
        <v>3244.2646800000002</v>
      </c>
      <c r="K12" s="15">
        <v>33.410640000000001</v>
      </c>
      <c r="L12" s="13">
        <v>492.92135999999999</v>
      </c>
      <c r="M12" s="14">
        <v>1126.5793200000001</v>
      </c>
      <c r="N12" s="107"/>
      <c r="O12" s="108"/>
      <c r="P12" s="108"/>
      <c r="Q12" s="109"/>
    </row>
    <row r="13" spans="1:17" x14ac:dyDescent="0.25">
      <c r="A13" s="110"/>
      <c r="B13" s="110" t="s">
        <v>62</v>
      </c>
      <c r="C13" s="5" t="s">
        <v>60</v>
      </c>
      <c r="D13" s="12">
        <v>5.3609999999999998</v>
      </c>
      <c r="E13" s="13">
        <v>1.91</v>
      </c>
      <c r="F13" s="13">
        <v>25.62</v>
      </c>
      <c r="G13" s="14">
        <v>146.35</v>
      </c>
      <c r="H13">
        <v>10.239509999999999</v>
      </c>
      <c r="I13">
        <v>137.34881999999999</v>
      </c>
      <c r="J13">
        <v>784.58234999999991</v>
      </c>
      <c r="K13" s="15">
        <v>7.9878899999999993</v>
      </c>
      <c r="L13" s="13">
        <v>134.23944</v>
      </c>
      <c r="M13" s="14">
        <v>288.47541000000001</v>
      </c>
      <c r="N13" s="107">
        <f>(D14-D13)/D13</f>
        <v>-0.1634023503077783</v>
      </c>
      <c r="O13" s="108">
        <f>(K14-K13)/K13</f>
        <v>-0.16340235030777825</v>
      </c>
      <c r="P13" s="108">
        <f>(L14-L13)/L13</f>
        <v>-0.20616772537191747</v>
      </c>
      <c r="Q13" s="109">
        <f>(M14-M13)/M13</f>
        <v>-0.21424186553717001</v>
      </c>
    </row>
    <row r="14" spans="1:17" x14ac:dyDescent="0.25">
      <c r="A14" s="110"/>
      <c r="B14" s="110"/>
      <c r="C14" s="5" t="s">
        <v>61</v>
      </c>
      <c r="D14" s="12">
        <v>4.4850000000000003</v>
      </c>
      <c r="E14" s="13">
        <v>1.91</v>
      </c>
      <c r="F14" s="13">
        <v>24.34</v>
      </c>
      <c r="G14" s="14">
        <v>143.09</v>
      </c>
      <c r="H14">
        <v>8.5663499999999999</v>
      </c>
      <c r="I14">
        <v>109.1649</v>
      </c>
      <c r="J14">
        <v>641.7586500000001</v>
      </c>
      <c r="K14" s="15">
        <v>6.6826500000000006</v>
      </c>
      <c r="L14" s="13">
        <v>106.56360000000001</v>
      </c>
      <c r="M14" s="14">
        <v>226.67190000000002</v>
      </c>
      <c r="N14" s="107"/>
      <c r="O14" s="108"/>
      <c r="P14" s="108"/>
      <c r="Q14" s="109"/>
    </row>
    <row r="15" spans="1:17" x14ac:dyDescent="0.25">
      <c r="A15" s="110" t="s">
        <v>104</v>
      </c>
      <c r="B15" s="110" t="s">
        <v>59</v>
      </c>
      <c r="C15" s="5" t="s">
        <v>60</v>
      </c>
      <c r="D15" s="12">
        <v>0.52400000000000002</v>
      </c>
      <c r="E15" s="13">
        <v>2.04</v>
      </c>
      <c r="F15" s="13">
        <v>8.9499999999999993</v>
      </c>
      <c r="G15" s="13">
        <v>106.49</v>
      </c>
      <c r="H15" s="15">
        <v>1.0689600000000001</v>
      </c>
      <c r="I15" s="13">
        <v>4.6898</v>
      </c>
      <c r="J15" s="14">
        <v>55.800759999999997</v>
      </c>
      <c r="K15" s="13">
        <v>0.84888000000000008</v>
      </c>
      <c r="L15" s="13">
        <v>4.3858799999999993</v>
      </c>
      <c r="M15" s="14">
        <v>7.3360000000000003</v>
      </c>
      <c r="N15" s="107">
        <f>(D16-D15)/D15</f>
        <v>0</v>
      </c>
      <c r="O15" s="108">
        <f>(K16-K15)/K15</f>
        <v>6.1728395061727342E-3</v>
      </c>
      <c r="P15" s="108">
        <f>(L16-L15)/L15</f>
        <v>-8.4826762246116932E-2</v>
      </c>
      <c r="Q15" s="109">
        <f>(M16-M15)/M15</f>
        <v>-0.14071428571428571</v>
      </c>
    </row>
    <row r="16" spans="1:17" x14ac:dyDescent="0.25">
      <c r="A16" s="110"/>
      <c r="B16" s="110"/>
      <c r="C16" s="5" t="s">
        <v>61</v>
      </c>
      <c r="D16" s="12">
        <v>0.52400000000000002</v>
      </c>
      <c r="E16" s="13">
        <v>2.0499999999999998</v>
      </c>
      <c r="F16" s="13">
        <v>8.24</v>
      </c>
      <c r="G16" s="13">
        <v>104.52</v>
      </c>
      <c r="H16" s="15">
        <v>1.0742</v>
      </c>
      <c r="I16" s="13">
        <v>4.3177600000000007</v>
      </c>
      <c r="J16" s="14">
        <v>54.768479999999997</v>
      </c>
      <c r="K16" s="13">
        <v>0.85411999999999999</v>
      </c>
      <c r="L16" s="13">
        <v>4.0138400000000001</v>
      </c>
      <c r="M16" s="14">
        <v>6.3037200000000002</v>
      </c>
      <c r="N16" s="107"/>
      <c r="O16" s="108"/>
      <c r="P16" s="108"/>
      <c r="Q16" s="109"/>
    </row>
    <row r="17" spans="1:17" x14ac:dyDescent="0.25">
      <c r="A17" s="110"/>
      <c r="B17" s="110" t="s">
        <v>62</v>
      </c>
      <c r="C17" s="5" t="s">
        <v>60</v>
      </c>
      <c r="D17" s="12">
        <v>0.52400000000000002</v>
      </c>
      <c r="E17" s="13">
        <v>2.0299999999999998</v>
      </c>
      <c r="F17" s="13">
        <v>8.1999999999999993</v>
      </c>
      <c r="G17" s="13">
        <v>104.89</v>
      </c>
      <c r="H17" s="15">
        <v>1.06372</v>
      </c>
      <c r="I17" s="13">
        <v>4.2968000000000002</v>
      </c>
      <c r="J17" s="14">
        <v>54.962360000000004</v>
      </c>
      <c r="K17" s="13">
        <v>0.84364000000000006</v>
      </c>
      <c r="L17" s="13">
        <v>3.9928800000000004</v>
      </c>
      <c r="M17" s="14">
        <v>6.4976000000000003</v>
      </c>
      <c r="N17" s="107">
        <f>(D18-D17)/D17</f>
        <v>-1.9083969465648872E-3</v>
      </c>
      <c r="O17" s="108">
        <f>(K18-K17)/K17</f>
        <v>-1.4307050400644854E-2</v>
      </c>
      <c r="P17" s="108">
        <f>(L18-L17)/L17</f>
        <v>-8.457554446915528E-3</v>
      </c>
      <c r="Q17" s="109">
        <f>(M18-M17)/M17</f>
        <v>-5.9862102930312723E-2</v>
      </c>
    </row>
    <row r="18" spans="1:17" x14ac:dyDescent="0.25">
      <c r="A18" s="110"/>
      <c r="B18" s="110"/>
      <c r="C18" s="5" t="s">
        <v>61</v>
      </c>
      <c r="D18" s="12">
        <v>0.52300000000000002</v>
      </c>
      <c r="E18" s="13">
        <v>2.0099999999999998</v>
      </c>
      <c r="F18" s="13">
        <v>8.15</v>
      </c>
      <c r="G18" s="13">
        <v>104.17</v>
      </c>
      <c r="H18" s="15">
        <v>1.0512299999999999</v>
      </c>
      <c r="I18" s="13">
        <v>4.2624500000000003</v>
      </c>
      <c r="J18" s="14">
        <v>54.480910000000002</v>
      </c>
      <c r="K18" s="13">
        <v>0.83157000000000003</v>
      </c>
      <c r="L18" s="13">
        <v>3.9591100000000004</v>
      </c>
      <c r="M18" s="14">
        <v>6.1086400000000003</v>
      </c>
      <c r="N18" s="107"/>
      <c r="O18" s="108"/>
      <c r="P18" s="108"/>
      <c r="Q18" s="109"/>
    </row>
    <row r="19" spans="1:17" x14ac:dyDescent="0.25">
      <c r="A19" s="110" t="s">
        <v>1</v>
      </c>
      <c r="B19" s="110" t="s">
        <v>59</v>
      </c>
      <c r="C19" s="5" t="s">
        <v>60</v>
      </c>
      <c r="D19" s="12">
        <v>76.260999999999996</v>
      </c>
      <c r="E19" s="13">
        <v>1.82</v>
      </c>
      <c r="F19" s="13">
        <v>27.27</v>
      </c>
      <c r="G19" s="14">
        <v>154.76</v>
      </c>
      <c r="H19" s="13">
        <v>138.79501999999999</v>
      </c>
      <c r="I19" s="13">
        <v>2079.6374699999997</v>
      </c>
      <c r="J19" s="13">
        <v>11802.152359999998</v>
      </c>
      <c r="K19" s="15">
        <v>106.76539999999999</v>
      </c>
      <c r="L19" s="13">
        <v>2035.4060899999999</v>
      </c>
      <c r="M19" s="14">
        <v>4730.46983</v>
      </c>
      <c r="N19" s="107">
        <f>(D20-D19)/D19</f>
        <v>3.6716014738864952E-4</v>
      </c>
      <c r="O19" s="108">
        <f>(K20-K19)/K19</f>
        <v>1.4658119578065608E-2</v>
      </c>
      <c r="P19" s="108">
        <f>(L20-L19)/L19</f>
        <v>2.9908282332004777E-3</v>
      </c>
      <c r="Q19" s="109">
        <f>(M20-M19)/M19</f>
        <v>4.2376763240028273E-3</v>
      </c>
    </row>
    <row r="20" spans="1:17" x14ac:dyDescent="0.25">
      <c r="A20" s="110"/>
      <c r="B20" s="110"/>
      <c r="C20" s="5" t="s">
        <v>61</v>
      </c>
      <c r="D20" s="12">
        <v>76.289000000000001</v>
      </c>
      <c r="E20" s="13">
        <v>1.84</v>
      </c>
      <c r="F20" s="13">
        <v>27.34</v>
      </c>
      <c r="G20" s="14">
        <v>155</v>
      </c>
      <c r="H20" s="13">
        <v>140.37175999999999</v>
      </c>
      <c r="I20" s="13">
        <v>2085.7412600000002</v>
      </c>
      <c r="J20" s="13">
        <v>11824.795</v>
      </c>
      <c r="K20" s="15">
        <v>108.33037999999999</v>
      </c>
      <c r="L20" s="13">
        <v>2041.4936400000001</v>
      </c>
      <c r="M20" s="14">
        <v>4750.5160300000007</v>
      </c>
      <c r="N20" s="107"/>
      <c r="O20" s="108"/>
      <c r="P20" s="108"/>
      <c r="Q20" s="109"/>
    </row>
    <row r="21" spans="1:17" x14ac:dyDescent="0.25">
      <c r="A21" s="110"/>
      <c r="B21" s="110" t="s">
        <v>62</v>
      </c>
      <c r="C21" s="5" t="s">
        <v>60</v>
      </c>
      <c r="D21" s="12">
        <v>1.0509999999999999</v>
      </c>
      <c r="E21" s="13">
        <v>1.95</v>
      </c>
      <c r="F21" s="13">
        <v>8.1300000000000008</v>
      </c>
      <c r="G21" s="14">
        <v>106.48</v>
      </c>
      <c r="H21" s="13">
        <v>2.0494499999999998</v>
      </c>
      <c r="I21" s="13">
        <v>8.5446299999999997</v>
      </c>
      <c r="J21" s="13">
        <v>111.91047999999999</v>
      </c>
      <c r="K21" s="15">
        <v>1.6080299999999998</v>
      </c>
      <c r="L21" s="13">
        <v>7.9350499999999995</v>
      </c>
      <c r="M21" s="14">
        <v>14.45125</v>
      </c>
      <c r="N21" s="107">
        <f>(D22-D21)/D21</f>
        <v>-0.49952426260704086</v>
      </c>
      <c r="O21" s="108">
        <f t="shared" ref="O21" si="0">(K22-K21)/K21</f>
        <v>-0.47008451334863144</v>
      </c>
      <c r="P21" s="108">
        <f>(L22-L21)/L21</f>
        <v>-0.514770543348813</v>
      </c>
      <c r="Q21" s="109">
        <f>(M22-M21)/M21</f>
        <v>-0.57414064527290021</v>
      </c>
    </row>
    <row r="22" spans="1:17" x14ac:dyDescent="0.25">
      <c r="A22" s="110"/>
      <c r="B22" s="110"/>
      <c r="C22" s="5" t="s">
        <v>61</v>
      </c>
      <c r="D22" s="12">
        <v>0.52600000000000002</v>
      </c>
      <c r="E22" s="13">
        <v>2.04</v>
      </c>
      <c r="F22" s="13">
        <v>7.9</v>
      </c>
      <c r="G22" s="14">
        <v>104.43</v>
      </c>
      <c r="H22" s="13">
        <v>1.07304</v>
      </c>
      <c r="I22" s="13">
        <v>4.1554000000000002</v>
      </c>
      <c r="J22" s="13">
        <v>54.930180000000007</v>
      </c>
      <c r="K22" s="15">
        <v>0.8521200000000001</v>
      </c>
      <c r="L22" s="13">
        <v>3.8503200000000004</v>
      </c>
      <c r="M22" s="14">
        <v>6.1542000000000003</v>
      </c>
      <c r="N22" s="107"/>
      <c r="O22" s="108"/>
      <c r="P22" s="108"/>
      <c r="Q22" s="109"/>
    </row>
    <row r="23" spans="1:17" x14ac:dyDescent="0.25">
      <c r="A23" s="110" t="s">
        <v>2</v>
      </c>
      <c r="B23" s="110" t="s">
        <v>59</v>
      </c>
      <c r="C23" s="5" t="s">
        <v>60</v>
      </c>
      <c r="D23" s="12">
        <v>2.0939999999999999</v>
      </c>
      <c r="E23" s="13">
        <v>1.94</v>
      </c>
      <c r="F23" s="13">
        <v>17.399999999999999</v>
      </c>
      <c r="G23" s="14">
        <v>126.84</v>
      </c>
      <c r="H23" s="13">
        <v>4.06236</v>
      </c>
      <c r="I23" s="13">
        <v>36.435599999999994</v>
      </c>
      <c r="J23" s="13">
        <v>265.60296</v>
      </c>
      <c r="K23" s="15">
        <v>3.1828799999999999</v>
      </c>
      <c r="L23" s="13">
        <v>35.221080000000001</v>
      </c>
      <c r="M23" s="14">
        <v>70.463099999999997</v>
      </c>
      <c r="N23" s="107">
        <f>(D24-D23)/D23</f>
        <v>-0.5</v>
      </c>
      <c r="O23" s="108">
        <f>(K24-K23)/K23</f>
        <v>-0.47697368421052627</v>
      </c>
      <c r="P23" s="108">
        <f>(L24-L23)/L23</f>
        <v>-0.61355529131985742</v>
      </c>
      <c r="Q23" s="109">
        <f>(M24-M23)/M23</f>
        <v>-0.64933135215453197</v>
      </c>
    </row>
    <row r="24" spans="1:17" x14ac:dyDescent="0.25">
      <c r="A24" s="110"/>
      <c r="B24" s="110"/>
      <c r="C24" s="5" t="s">
        <v>61</v>
      </c>
      <c r="D24" s="12">
        <v>1.0469999999999999</v>
      </c>
      <c r="E24" s="13">
        <v>2.0099999999999998</v>
      </c>
      <c r="F24" s="13">
        <v>13.58</v>
      </c>
      <c r="G24" s="14">
        <v>116.79</v>
      </c>
      <c r="H24" s="13">
        <v>2.1044699999999996</v>
      </c>
      <c r="I24" s="13">
        <v>14.218259999999999</v>
      </c>
      <c r="J24" s="13">
        <v>122.27912999999999</v>
      </c>
      <c r="K24" s="15">
        <v>1.66473</v>
      </c>
      <c r="L24" s="13">
        <v>13.610999999999999</v>
      </c>
      <c r="M24" s="14">
        <v>24.709199999999999</v>
      </c>
      <c r="N24" s="107"/>
      <c r="O24" s="108"/>
      <c r="P24" s="108"/>
      <c r="Q24" s="109"/>
    </row>
    <row r="25" spans="1:17" x14ac:dyDescent="0.25">
      <c r="A25" s="110"/>
      <c r="B25" s="110" t="s">
        <v>62</v>
      </c>
      <c r="C25" s="5" t="s">
        <v>60</v>
      </c>
      <c r="D25" s="12">
        <v>2.093</v>
      </c>
      <c r="E25" s="13">
        <v>1.94</v>
      </c>
      <c r="F25" s="13">
        <v>17.09</v>
      </c>
      <c r="G25" s="14">
        <v>125.22</v>
      </c>
      <c r="H25" s="13">
        <v>4.0604199999999997</v>
      </c>
      <c r="I25" s="13">
        <v>35.769370000000002</v>
      </c>
      <c r="J25" s="13">
        <v>262.08546000000001</v>
      </c>
      <c r="K25" s="15">
        <v>3.1813600000000002</v>
      </c>
      <c r="L25" s="13">
        <v>34.555430000000001</v>
      </c>
      <c r="M25" s="14">
        <v>67.038790000000006</v>
      </c>
      <c r="N25" s="107">
        <f>(D26-D25)/D25</f>
        <v>-0.49976110845676064</v>
      </c>
      <c r="O25" s="108">
        <f>(K26-K25)/K25</f>
        <v>-0.48001483642215909</v>
      </c>
      <c r="P25" s="108">
        <f>(L26-L25)/L25</f>
        <v>-0.69367563940023325</v>
      </c>
      <c r="Q25" s="109">
        <f>(M26-M25)/M25</f>
        <v>-0.73262285909396641</v>
      </c>
    </row>
    <row r="26" spans="1:17" x14ac:dyDescent="0.25">
      <c r="A26" s="110"/>
      <c r="B26" s="110"/>
      <c r="C26" s="5" t="s">
        <v>61</v>
      </c>
      <c r="D26" s="12">
        <v>1.0469999999999999</v>
      </c>
      <c r="E26" s="13">
        <v>2</v>
      </c>
      <c r="F26" s="13">
        <v>10.69</v>
      </c>
      <c r="G26" s="14">
        <v>110.3</v>
      </c>
      <c r="H26" s="13">
        <v>2.0939999999999999</v>
      </c>
      <c r="I26" s="13">
        <v>11.192429999999998</v>
      </c>
      <c r="J26" s="13">
        <v>115.48409999999998</v>
      </c>
      <c r="K26" s="15">
        <v>1.6542600000000001</v>
      </c>
      <c r="L26" s="13">
        <v>10.585169999999998</v>
      </c>
      <c r="M26" s="14">
        <v>17.92464</v>
      </c>
      <c r="N26" s="107"/>
      <c r="O26" s="108"/>
      <c r="P26" s="108"/>
      <c r="Q26" s="109"/>
    </row>
    <row r="27" spans="1:17" x14ac:dyDescent="0.25">
      <c r="A27" s="110" t="s">
        <v>3</v>
      </c>
      <c r="B27" s="110" t="s">
        <v>59</v>
      </c>
      <c r="C27" s="5" t="s">
        <v>60</v>
      </c>
      <c r="D27" s="12">
        <v>1.0469999999999999</v>
      </c>
      <c r="E27" s="13">
        <v>2</v>
      </c>
      <c r="F27" s="13">
        <v>13.98</v>
      </c>
      <c r="G27" s="14">
        <v>116.33</v>
      </c>
      <c r="H27" s="13">
        <v>2.0939999999999999</v>
      </c>
      <c r="I27" s="13">
        <v>14.63706</v>
      </c>
      <c r="J27" s="13">
        <v>121.79750999999999</v>
      </c>
      <c r="K27" s="15">
        <v>1.6542600000000001</v>
      </c>
      <c r="L27" s="13">
        <v>14.0298</v>
      </c>
      <c r="M27" s="14">
        <v>23.526089999999996</v>
      </c>
      <c r="N27" s="107">
        <f>(D28-D27)/D27</f>
        <v>-0.43266475644699137</v>
      </c>
      <c r="O27" s="108">
        <f>(K28-K27)/K27</f>
        <v>-0.40393892133038345</v>
      </c>
      <c r="P27" s="108">
        <f>(L28-L27)/L27</f>
        <v>-0.64478039601419834</v>
      </c>
      <c r="Q27" s="109">
        <f>(M28-M27)/M27</f>
        <v>-0.66242669308839675</v>
      </c>
    </row>
    <row r="28" spans="1:17" x14ac:dyDescent="0.25">
      <c r="A28" s="110"/>
      <c r="B28" s="110"/>
      <c r="C28" s="5" t="s">
        <v>61</v>
      </c>
      <c r="D28" s="12">
        <v>0.59399999999999997</v>
      </c>
      <c r="E28" s="13">
        <v>2.08</v>
      </c>
      <c r="F28" s="13">
        <v>8.9700000000000006</v>
      </c>
      <c r="G28" s="14">
        <v>107.23</v>
      </c>
      <c r="H28" s="13">
        <v>1.23552</v>
      </c>
      <c r="I28" s="13">
        <v>5.3281799999999997</v>
      </c>
      <c r="J28" s="13">
        <v>63.69462</v>
      </c>
      <c r="K28" s="15">
        <v>0.98603999999999992</v>
      </c>
      <c r="L28" s="13">
        <v>4.9836600000000004</v>
      </c>
      <c r="M28" s="14">
        <v>7.9417799999999987</v>
      </c>
      <c r="N28" s="107"/>
      <c r="O28" s="108"/>
      <c r="P28" s="108"/>
      <c r="Q28" s="109"/>
    </row>
    <row r="29" spans="1:17" x14ac:dyDescent="0.25">
      <c r="A29" s="110"/>
      <c r="B29" s="110" t="s">
        <v>62</v>
      </c>
      <c r="C29" s="5" t="s">
        <v>60</v>
      </c>
      <c r="D29" s="12">
        <v>1.0469999999999999</v>
      </c>
      <c r="E29" s="13">
        <v>2</v>
      </c>
      <c r="F29" s="13">
        <v>10.54</v>
      </c>
      <c r="G29" s="14">
        <v>111.73</v>
      </c>
      <c r="H29" s="13">
        <v>2.0939999999999999</v>
      </c>
      <c r="I29" s="13">
        <v>11.035379999999998</v>
      </c>
      <c r="J29" s="13">
        <v>116.98130999999999</v>
      </c>
      <c r="K29" s="15">
        <v>1.6542600000000001</v>
      </c>
      <c r="L29" s="13">
        <v>10.42812</v>
      </c>
      <c r="M29" s="14">
        <v>18.69942</v>
      </c>
      <c r="N29" s="107">
        <f>(D30-D29)/D29</f>
        <v>-0.41642788920725882</v>
      </c>
      <c r="O29" s="108">
        <f>(K30-K29)/K29</f>
        <v>-0.38687993423041123</v>
      </c>
      <c r="P29" s="108">
        <f>(L30-L29)/L29</f>
        <v>-0.51193216035105082</v>
      </c>
      <c r="Q29" s="109">
        <f>(M30-M29)/M29</f>
        <v>-0.54320615291811192</v>
      </c>
    </row>
    <row r="30" spans="1:17" x14ac:dyDescent="0.25">
      <c r="A30" s="110"/>
      <c r="B30" s="110"/>
      <c r="C30" s="5" t="s">
        <v>61</v>
      </c>
      <c r="D30" s="12">
        <v>0.61099999999999999</v>
      </c>
      <c r="E30" s="13">
        <v>2.08</v>
      </c>
      <c r="F30" s="13">
        <v>8.91</v>
      </c>
      <c r="G30" s="14">
        <v>107.85</v>
      </c>
      <c r="H30" s="13">
        <v>1.27088</v>
      </c>
      <c r="I30" s="13">
        <v>5.4440099999999996</v>
      </c>
      <c r="J30" s="13">
        <v>65.896349999999998</v>
      </c>
      <c r="K30" s="15">
        <v>1.0142599999999999</v>
      </c>
      <c r="L30" s="13">
        <v>5.0896299999999997</v>
      </c>
      <c r="M30" s="14">
        <v>8.5417799999999993</v>
      </c>
      <c r="N30" s="107"/>
      <c r="O30" s="108"/>
      <c r="P30" s="108"/>
      <c r="Q30" s="109"/>
    </row>
    <row r="31" spans="1:17" x14ac:dyDescent="0.25">
      <c r="A31" s="110" t="s">
        <v>4</v>
      </c>
      <c r="B31" s="110" t="s">
        <v>59</v>
      </c>
      <c r="C31" s="5" t="s">
        <v>60</v>
      </c>
      <c r="D31" s="12">
        <v>8.3759999999999994</v>
      </c>
      <c r="E31" s="13">
        <v>1.92</v>
      </c>
      <c r="F31" s="13">
        <v>23.19</v>
      </c>
      <c r="G31" s="13">
        <v>141.44</v>
      </c>
      <c r="H31" s="15">
        <v>16.081919999999997</v>
      </c>
      <c r="I31" s="13">
        <v>194.23944</v>
      </c>
      <c r="J31" s="14">
        <v>1184.7014399999998</v>
      </c>
      <c r="K31" s="13">
        <v>12.564</v>
      </c>
      <c r="L31" s="13">
        <v>189.38135999999997</v>
      </c>
      <c r="M31" s="14">
        <v>418.63247999999993</v>
      </c>
      <c r="N31" s="107">
        <f>(D32-D31)/D31</f>
        <v>-0.25011938872970391</v>
      </c>
      <c r="O31" s="108">
        <f>(K32-K31)/K31</f>
        <v>-0.25011938872970391</v>
      </c>
      <c r="P31" s="108">
        <f>(L32-L31)/L31</f>
        <v>-0.28295361275259601</v>
      </c>
      <c r="Q31" s="109">
        <f>(M32-M31)/M31</f>
        <v>-0.29603044656257904</v>
      </c>
    </row>
    <row r="32" spans="1:17" x14ac:dyDescent="0.25">
      <c r="A32" s="110"/>
      <c r="B32" s="110"/>
      <c r="C32" s="5" t="s">
        <v>61</v>
      </c>
      <c r="D32" s="12">
        <v>6.2809999999999997</v>
      </c>
      <c r="E32" s="13">
        <v>1.92</v>
      </c>
      <c r="F32" s="13">
        <v>22.2</v>
      </c>
      <c r="G32" s="13">
        <v>138.38</v>
      </c>
      <c r="H32" s="15">
        <v>12.059519999999999</v>
      </c>
      <c r="I32" s="13">
        <v>139.43819999999999</v>
      </c>
      <c r="J32" s="14">
        <v>869.16477999999995</v>
      </c>
      <c r="K32" s="13">
        <v>9.4215</v>
      </c>
      <c r="L32" s="13">
        <v>135.79522</v>
      </c>
      <c r="M32" s="14">
        <v>294.70452</v>
      </c>
      <c r="N32" s="107"/>
      <c r="O32" s="108"/>
      <c r="P32" s="108"/>
      <c r="Q32" s="109"/>
    </row>
    <row r="33" spans="1:17" x14ac:dyDescent="0.25">
      <c r="A33" s="110"/>
      <c r="B33" s="110" t="s">
        <v>62</v>
      </c>
      <c r="C33" s="5" t="s">
        <v>60</v>
      </c>
      <c r="D33" s="12">
        <v>8.4220000000000006</v>
      </c>
      <c r="E33" s="13">
        <v>1.92</v>
      </c>
      <c r="F33" s="13">
        <v>22.94</v>
      </c>
      <c r="G33" s="13">
        <v>140.91</v>
      </c>
      <c r="H33" s="15">
        <v>16.17024</v>
      </c>
      <c r="I33" s="13">
        <v>193.20068000000003</v>
      </c>
      <c r="J33" s="14">
        <v>1186.7440200000001</v>
      </c>
      <c r="K33" s="13">
        <v>12.633000000000001</v>
      </c>
      <c r="L33" s="13">
        <v>188.31592000000001</v>
      </c>
      <c r="M33" s="14">
        <v>416.46790000000004</v>
      </c>
      <c r="N33" s="107">
        <f>(D34-D33)/D33</f>
        <v>-0.31358347185941587</v>
      </c>
      <c r="O33" s="108">
        <f>(K34-K33)/K33</f>
        <v>-0.31358347185941587</v>
      </c>
      <c r="P33" s="108">
        <f>(L34-L33)/L33</f>
        <v>-0.37375236251932398</v>
      </c>
      <c r="Q33" s="109">
        <f>(M34-M33)/M33</f>
        <v>-0.37105090212234848</v>
      </c>
    </row>
    <row r="34" spans="1:17" x14ac:dyDescent="0.25">
      <c r="A34" s="110"/>
      <c r="B34" s="110"/>
      <c r="C34" s="5" t="s">
        <v>61</v>
      </c>
      <c r="D34" s="12">
        <v>5.7809999999999997</v>
      </c>
      <c r="E34" s="13">
        <v>1.92</v>
      </c>
      <c r="F34" s="13">
        <v>20.98</v>
      </c>
      <c r="G34" s="13">
        <v>136.77000000000001</v>
      </c>
      <c r="H34" s="15">
        <v>11.099519999999998</v>
      </c>
      <c r="I34" s="13">
        <v>121.28537999999999</v>
      </c>
      <c r="J34" s="14">
        <v>790.66737000000001</v>
      </c>
      <c r="K34" s="13">
        <v>8.6715</v>
      </c>
      <c r="L34" s="13">
        <v>117.93239999999999</v>
      </c>
      <c r="M34" s="14">
        <v>261.93711000000002</v>
      </c>
      <c r="N34" s="107"/>
      <c r="O34" s="108"/>
      <c r="P34" s="108"/>
      <c r="Q34" s="109"/>
    </row>
    <row r="35" spans="1:17" x14ac:dyDescent="0.25">
      <c r="A35" s="110" t="s">
        <v>7</v>
      </c>
      <c r="B35" s="110" t="s">
        <v>59</v>
      </c>
      <c r="C35" s="5" t="s">
        <v>60</v>
      </c>
      <c r="D35" s="12">
        <v>1.0469999999999999</v>
      </c>
      <c r="E35" s="13">
        <v>1.96</v>
      </c>
      <c r="F35" s="13">
        <v>10.33</v>
      </c>
      <c r="G35" s="13">
        <v>110.49</v>
      </c>
      <c r="H35" s="15">
        <v>2.0521199999999999</v>
      </c>
      <c r="I35" s="13">
        <v>11.914860000000001</v>
      </c>
      <c r="J35" s="14">
        <v>117.61998</v>
      </c>
      <c r="K35" s="13">
        <v>1.6123799999999999</v>
      </c>
      <c r="L35" s="13">
        <v>11.307600000000001</v>
      </c>
      <c r="M35" s="14">
        <v>20.510729999999999</v>
      </c>
      <c r="N35" s="107">
        <f>(D36-D35)/D35</f>
        <v>0</v>
      </c>
      <c r="O35" s="108">
        <f>(K36-K35)/K35</f>
        <v>-0.34694054751361336</v>
      </c>
      <c r="P35" s="108">
        <f>(L36-L35)/L35</f>
        <v>-0.53153631186104922</v>
      </c>
      <c r="Q35" s="109">
        <f>(M36-M35)/M35</f>
        <v>-0.57323313212157723</v>
      </c>
    </row>
    <row r="36" spans="1:17" x14ac:dyDescent="0.25">
      <c r="A36" s="110"/>
      <c r="B36" s="110"/>
      <c r="C36" s="5" t="s">
        <v>61</v>
      </c>
      <c r="D36" s="12">
        <v>1.0469999999999999</v>
      </c>
      <c r="E36" s="13">
        <v>1.96</v>
      </c>
      <c r="F36" s="13">
        <v>11.38</v>
      </c>
      <c r="G36" s="13">
        <v>112.34</v>
      </c>
      <c r="H36" s="15">
        <v>1.3243</v>
      </c>
      <c r="I36" s="13">
        <v>5.6718799999999998</v>
      </c>
      <c r="J36" s="14">
        <v>68.676259999999999</v>
      </c>
      <c r="K36" s="13">
        <v>1.05298</v>
      </c>
      <c r="L36" s="13">
        <v>5.2972000000000001</v>
      </c>
      <c r="M36" s="14">
        <v>8.7533000000000012</v>
      </c>
      <c r="N36" s="107"/>
      <c r="O36" s="108"/>
      <c r="P36" s="108"/>
      <c r="Q36" s="109"/>
    </row>
    <row r="37" spans="1:17" x14ac:dyDescent="0.25">
      <c r="A37" s="110"/>
      <c r="B37" s="110" t="s">
        <v>62</v>
      </c>
      <c r="C37" s="5" t="s">
        <v>60</v>
      </c>
      <c r="D37" s="12">
        <v>0.68</v>
      </c>
      <c r="E37" s="13">
        <v>2.0699999999999998</v>
      </c>
      <c r="F37" s="13">
        <v>8.61</v>
      </c>
      <c r="G37" s="13">
        <v>105.35</v>
      </c>
      <c r="H37" s="15">
        <v>2.0521199999999999</v>
      </c>
      <c r="I37" s="13">
        <v>10.81551</v>
      </c>
      <c r="J37" s="14">
        <v>115.68302999999999</v>
      </c>
      <c r="K37" s="13">
        <v>1.6123799999999999</v>
      </c>
      <c r="L37" s="13">
        <v>10.20825</v>
      </c>
      <c r="M37" s="14">
        <v>18.563309999999998</v>
      </c>
      <c r="N37" s="107">
        <f>(D38-D37)/D37</f>
        <v>-5.0000000000000037E-2</v>
      </c>
      <c r="O37" s="108">
        <f>(K38-K37)/K37</f>
        <v>-0.33386670635954302</v>
      </c>
      <c r="P37" s="108">
        <f>(L38-L37)/L37</f>
        <v>-0.47782234957020053</v>
      </c>
      <c r="Q37" s="109">
        <f>(M38-M37)/M37</f>
        <v>-0.51533912863600284</v>
      </c>
    </row>
    <row r="38" spans="1:17" x14ac:dyDescent="0.25">
      <c r="A38" s="110"/>
      <c r="B38" s="110"/>
      <c r="C38" s="5" t="s">
        <v>61</v>
      </c>
      <c r="D38" s="12">
        <v>0.64600000000000002</v>
      </c>
      <c r="E38" s="13">
        <v>2.0499999999999998</v>
      </c>
      <c r="F38" s="13">
        <v>8.7799999999999994</v>
      </c>
      <c r="G38" s="13">
        <v>106.31</v>
      </c>
      <c r="H38" s="15">
        <v>1.3525200000000002</v>
      </c>
      <c r="I38" s="13">
        <v>5.7150599999999994</v>
      </c>
      <c r="J38" s="14">
        <v>70.490160000000003</v>
      </c>
      <c r="K38" s="13">
        <v>1.07406</v>
      </c>
      <c r="L38" s="13">
        <v>5.3305199999999999</v>
      </c>
      <c r="M38" s="14">
        <v>8.9969100000000015</v>
      </c>
      <c r="N38" s="107"/>
      <c r="O38" s="108"/>
      <c r="P38" s="108"/>
      <c r="Q38" s="109"/>
    </row>
    <row r="39" spans="1:17" x14ac:dyDescent="0.25">
      <c r="A39" s="110" t="s">
        <v>8</v>
      </c>
      <c r="B39" s="110" t="s">
        <v>59</v>
      </c>
      <c r="C39" s="5" t="s">
        <v>60</v>
      </c>
      <c r="D39" s="12">
        <v>1.046</v>
      </c>
      <c r="E39" s="13">
        <v>1.94</v>
      </c>
      <c r="F39" s="13">
        <v>10.4</v>
      </c>
      <c r="G39" s="13">
        <v>109.59</v>
      </c>
      <c r="H39" s="15">
        <v>2.0292400000000002</v>
      </c>
      <c r="I39" s="13">
        <v>10.878400000000001</v>
      </c>
      <c r="J39" s="14">
        <v>114.63114</v>
      </c>
      <c r="K39" s="13">
        <v>1.58992</v>
      </c>
      <c r="L39" s="13">
        <v>10.27172</v>
      </c>
      <c r="M39" s="14">
        <v>18.545580000000001</v>
      </c>
      <c r="N39" s="107">
        <f>(D40-D39)/D39</f>
        <v>-0.33269598470363293</v>
      </c>
      <c r="O39" s="108">
        <f>(K40-K39)/K39</f>
        <v>-0.29757472074066621</v>
      </c>
      <c r="P39" s="108">
        <f>(L40-L39)/L39</f>
        <v>-0.46452590218580725</v>
      </c>
      <c r="Q39" s="109">
        <f>(M40-M39)/M39</f>
        <v>-0.4249066354355055</v>
      </c>
    </row>
    <row r="40" spans="1:17" x14ac:dyDescent="0.25">
      <c r="A40" s="110"/>
      <c r="B40" s="110"/>
      <c r="C40" s="5" t="s">
        <v>61</v>
      </c>
      <c r="D40" s="12">
        <v>0.69799999999999995</v>
      </c>
      <c r="E40" s="13">
        <v>2.02</v>
      </c>
      <c r="F40" s="13">
        <v>8.4600000000000009</v>
      </c>
      <c r="G40" s="13">
        <v>107.14</v>
      </c>
      <c r="H40" s="15">
        <v>1.4099599999999999</v>
      </c>
      <c r="I40" s="13">
        <v>5.9050799999999999</v>
      </c>
      <c r="J40" s="14">
        <v>74.783720000000002</v>
      </c>
      <c r="K40" s="13">
        <v>1.1168</v>
      </c>
      <c r="L40" s="13">
        <v>5.5002399999999998</v>
      </c>
      <c r="M40" s="14">
        <v>10.665439999999998</v>
      </c>
      <c r="N40" s="107"/>
      <c r="O40" s="108"/>
      <c r="P40" s="108"/>
      <c r="Q40" s="109"/>
    </row>
    <row r="41" spans="1:17" x14ac:dyDescent="0.25">
      <c r="A41" s="110"/>
      <c r="B41" s="110" t="s">
        <v>62</v>
      </c>
      <c r="C41" s="5" t="s">
        <v>60</v>
      </c>
      <c r="D41" s="12">
        <v>1.0469999999999999</v>
      </c>
      <c r="E41" s="13">
        <v>1.99</v>
      </c>
      <c r="F41" s="13">
        <v>10.69</v>
      </c>
      <c r="G41" s="13">
        <v>110.56</v>
      </c>
      <c r="H41" s="15">
        <v>2.0835299999999997</v>
      </c>
      <c r="I41" s="13">
        <v>11.192429999999998</v>
      </c>
      <c r="J41" s="14">
        <v>115.75631999999999</v>
      </c>
      <c r="K41" s="13">
        <v>1.6437899999999999</v>
      </c>
      <c r="L41" s="13">
        <v>10.585169999999998</v>
      </c>
      <c r="M41" s="14">
        <v>19.578899999999997</v>
      </c>
      <c r="N41" s="107">
        <f>(D42-D41)/D41</f>
        <v>-0.35052531041069712</v>
      </c>
      <c r="O41" s="108">
        <f>(K42-K41)/K41</f>
        <v>-0.31743105871187915</v>
      </c>
      <c r="P41" s="108">
        <f>(L42-L41)/L41</f>
        <v>-0.48414621588505419</v>
      </c>
      <c r="Q41" s="109">
        <f>(M42-M41)/M41</f>
        <v>-0.53112789789007542</v>
      </c>
    </row>
    <row r="42" spans="1:17" x14ac:dyDescent="0.25">
      <c r="A42" s="110"/>
      <c r="B42" s="110"/>
      <c r="C42" s="5" t="s">
        <v>61</v>
      </c>
      <c r="D42" s="12">
        <v>0.68</v>
      </c>
      <c r="E42" s="13">
        <v>2.0699999999999998</v>
      </c>
      <c r="F42" s="13">
        <v>8.61</v>
      </c>
      <c r="G42" s="13">
        <v>105.35</v>
      </c>
      <c r="H42" s="15">
        <v>1.4076</v>
      </c>
      <c r="I42" s="13">
        <v>5.8548</v>
      </c>
      <c r="J42" s="14">
        <v>71.638000000000005</v>
      </c>
      <c r="K42" s="13">
        <v>1.1220000000000001</v>
      </c>
      <c r="L42" s="13">
        <v>5.4603999999999999</v>
      </c>
      <c r="M42" s="14">
        <v>9.1800000000000015</v>
      </c>
      <c r="N42" s="107"/>
      <c r="O42" s="108"/>
      <c r="P42" s="108"/>
      <c r="Q42" s="109"/>
    </row>
    <row r="43" spans="1:17" x14ac:dyDescent="0.25">
      <c r="A43" s="110" t="s">
        <v>10</v>
      </c>
      <c r="B43" s="110" t="s">
        <v>59</v>
      </c>
      <c r="C43" s="5" t="s">
        <v>60</v>
      </c>
      <c r="D43" s="12">
        <v>12.789</v>
      </c>
      <c r="E43" s="13">
        <v>1.84</v>
      </c>
      <c r="F43" s="13">
        <v>23.15</v>
      </c>
      <c r="G43" s="13">
        <v>144.81</v>
      </c>
      <c r="H43" s="15">
        <v>23.531760000000002</v>
      </c>
      <c r="I43" s="13">
        <v>296.06534999999997</v>
      </c>
      <c r="J43" s="14">
        <v>1851.9750899999999</v>
      </c>
      <c r="K43" s="13">
        <v>18.16038</v>
      </c>
      <c r="L43" s="13">
        <v>288.64773000000002</v>
      </c>
      <c r="M43" s="14">
        <v>673.59663</v>
      </c>
      <c r="N43" s="107">
        <f>(D44-D43)/D43</f>
        <v>-0.87723825162248803</v>
      </c>
      <c r="O43" s="108">
        <f>(K44-K43)/K43</f>
        <v>-0.87032209678431838</v>
      </c>
      <c r="P43" s="108">
        <f>(L44-L43)/L43</f>
        <v>-0.91814070389536739</v>
      </c>
      <c r="Q43" s="109">
        <f>(M44-M43)/M43</f>
        <v>-0.93149861809730261</v>
      </c>
    </row>
    <row r="44" spans="1:17" x14ac:dyDescent="0.25">
      <c r="A44" s="110"/>
      <c r="B44" s="110"/>
      <c r="C44" s="5" t="s">
        <v>61</v>
      </c>
      <c r="D44" s="12">
        <v>1.57</v>
      </c>
      <c r="E44" s="13">
        <v>1.92</v>
      </c>
      <c r="F44" s="13">
        <v>15.63</v>
      </c>
      <c r="G44" s="13">
        <v>121.52</v>
      </c>
      <c r="H44" s="15">
        <v>3.0144000000000002</v>
      </c>
      <c r="I44" s="13">
        <v>24.539100000000001</v>
      </c>
      <c r="J44" s="14">
        <v>190.78640000000001</v>
      </c>
      <c r="K44" s="13">
        <v>2.355</v>
      </c>
      <c r="L44" s="13">
        <v>23.628500000000003</v>
      </c>
      <c r="M44" s="14">
        <v>46.142300000000006</v>
      </c>
      <c r="N44" s="107"/>
      <c r="O44" s="108"/>
      <c r="P44" s="108"/>
      <c r="Q44" s="109"/>
    </row>
    <row r="45" spans="1:17" x14ac:dyDescent="0.25">
      <c r="A45" s="110"/>
      <c r="B45" s="110" t="s">
        <v>62</v>
      </c>
      <c r="C45" s="5" t="s">
        <v>60</v>
      </c>
      <c r="D45" s="12">
        <v>17.812999999999999</v>
      </c>
      <c r="E45" s="13">
        <v>1.84</v>
      </c>
      <c r="F45" s="13">
        <v>22.12</v>
      </c>
      <c r="G45" s="13">
        <v>141.94999999999999</v>
      </c>
      <c r="H45" s="15">
        <v>32.775919999999999</v>
      </c>
      <c r="I45" s="13">
        <v>394.02355999999997</v>
      </c>
      <c r="J45" s="14">
        <v>2528.5553499999996</v>
      </c>
      <c r="K45" s="13">
        <v>25.294459999999997</v>
      </c>
      <c r="L45" s="13">
        <v>383.69201999999996</v>
      </c>
      <c r="M45" s="14">
        <v>887.26553000000001</v>
      </c>
      <c r="N45" s="107">
        <f>(D46-D45)/D45</f>
        <v>-0.91146915174310883</v>
      </c>
      <c r="O45" s="108">
        <f>(K46-K45)/K45</f>
        <v>-0.90648149832018543</v>
      </c>
      <c r="P45" s="108">
        <f>(L46-L45)/L45</f>
        <v>-0.92963564892488504</v>
      </c>
      <c r="Q45" s="109">
        <f>(M46-M45)/M45</f>
        <v>-0.94337296074152688</v>
      </c>
    </row>
    <row r="46" spans="1:17" x14ac:dyDescent="0.25">
      <c r="A46" s="110"/>
      <c r="B46" s="110"/>
      <c r="C46" s="5" t="s">
        <v>61</v>
      </c>
      <c r="D46" s="12">
        <v>1.577</v>
      </c>
      <c r="E46" s="13">
        <v>1.92</v>
      </c>
      <c r="F46" s="13">
        <v>17.7</v>
      </c>
      <c r="G46" s="13">
        <v>124</v>
      </c>
      <c r="H46" s="15">
        <v>3.0278399999999999</v>
      </c>
      <c r="I46" s="13">
        <v>27.912899999999997</v>
      </c>
      <c r="J46" s="14">
        <v>195.548</v>
      </c>
      <c r="K46" s="13">
        <v>2.3654999999999999</v>
      </c>
      <c r="L46" s="13">
        <v>26.998239999999999</v>
      </c>
      <c r="M46" s="14">
        <v>50.243220000000001</v>
      </c>
      <c r="N46" s="107"/>
      <c r="O46" s="108"/>
      <c r="P46" s="108"/>
      <c r="Q46" s="109"/>
    </row>
    <row r="47" spans="1:17" x14ac:dyDescent="0.25">
      <c r="A47" s="110" t="s">
        <v>11</v>
      </c>
      <c r="B47" s="110" t="s">
        <v>59</v>
      </c>
      <c r="C47" s="5" t="s">
        <v>60</v>
      </c>
      <c r="D47" s="12">
        <v>8.8979999999999997</v>
      </c>
      <c r="E47" s="13">
        <v>1.86</v>
      </c>
      <c r="F47" s="13">
        <v>21.7</v>
      </c>
      <c r="G47" s="13">
        <v>139.43</v>
      </c>
      <c r="H47" s="15">
        <v>16.550280000000001</v>
      </c>
      <c r="I47" s="13">
        <v>193.08659999999998</v>
      </c>
      <c r="J47" s="14">
        <v>1240.64814</v>
      </c>
      <c r="K47" s="13">
        <v>12.81312</v>
      </c>
      <c r="L47" s="13">
        <v>187.92576</v>
      </c>
      <c r="M47" s="14">
        <v>436.98077999999998</v>
      </c>
      <c r="N47" s="107">
        <f>(D48-D47)/D47</f>
        <v>-0.88233310856372227</v>
      </c>
      <c r="O47" s="108">
        <f>(K48-K47)/K47</f>
        <v>-0.87334466546789546</v>
      </c>
      <c r="P47" s="108">
        <f>(L48-L47)/L47</f>
        <v>-0.92545535002758539</v>
      </c>
      <c r="Q47" s="109">
        <f>(M48-M47)/M47</f>
        <v>-0.9385189893248852</v>
      </c>
    </row>
    <row r="48" spans="1:17" x14ac:dyDescent="0.25">
      <c r="A48" s="110"/>
      <c r="B48" s="110"/>
      <c r="C48" s="5" t="s">
        <v>61</v>
      </c>
      <c r="D48" s="12">
        <v>1.0469999999999999</v>
      </c>
      <c r="E48" s="13">
        <v>1.97</v>
      </c>
      <c r="F48" s="13">
        <v>13.96</v>
      </c>
      <c r="G48" s="13">
        <v>115.99</v>
      </c>
      <c r="H48" s="15">
        <v>2.0625899999999997</v>
      </c>
      <c r="I48" s="13">
        <v>14.61612</v>
      </c>
      <c r="J48" s="14">
        <v>121.44152999999999</v>
      </c>
      <c r="K48" s="13">
        <v>1.6228499999999999</v>
      </c>
      <c r="L48" s="13">
        <v>14.00886</v>
      </c>
      <c r="M48" s="14">
        <v>26.866019999999999</v>
      </c>
      <c r="N48" s="107"/>
      <c r="O48" s="108"/>
      <c r="P48" s="108"/>
      <c r="Q48" s="109"/>
    </row>
    <row r="49" spans="1:17" x14ac:dyDescent="0.25">
      <c r="A49" s="110"/>
      <c r="B49" s="110" t="s">
        <v>62</v>
      </c>
      <c r="C49" s="5" t="s">
        <v>60</v>
      </c>
      <c r="D49" s="12">
        <v>3.5249999999999999</v>
      </c>
      <c r="E49" s="13">
        <v>1.88</v>
      </c>
      <c r="F49" s="13">
        <v>19.649999999999999</v>
      </c>
      <c r="G49" s="13">
        <v>131.57</v>
      </c>
      <c r="H49" s="15">
        <v>6.6269999999999998</v>
      </c>
      <c r="I49" s="13">
        <v>69.266249999999999</v>
      </c>
      <c r="J49" s="14">
        <v>463.78424999999999</v>
      </c>
      <c r="K49" s="13">
        <v>5.1464999999999996</v>
      </c>
      <c r="L49" s="13">
        <v>67.22175</v>
      </c>
      <c r="M49" s="14">
        <v>145.37100000000001</v>
      </c>
      <c r="N49" s="107">
        <f>(D50-D49)/D49</f>
        <v>-0.55262411347517726</v>
      </c>
      <c r="O49" s="108">
        <f>(K50-K49)/K49</f>
        <v>-0.53423880307004756</v>
      </c>
      <c r="P49" s="108">
        <f>(L50-L49)/L49</f>
        <v>-0.68798640321027049</v>
      </c>
      <c r="Q49" s="109">
        <f>(M50-M49)/M49</f>
        <v>-0.69603607321955552</v>
      </c>
    </row>
    <row r="50" spans="1:17" x14ac:dyDescent="0.25">
      <c r="A50" s="110"/>
      <c r="B50" s="110"/>
      <c r="C50" s="5" t="s">
        <v>61</v>
      </c>
      <c r="D50" s="12">
        <v>1.577</v>
      </c>
      <c r="E50" s="13">
        <v>1.94</v>
      </c>
      <c r="F50" s="13">
        <v>13.88</v>
      </c>
      <c r="G50" s="13">
        <v>118.34</v>
      </c>
      <c r="H50" s="15">
        <v>3.05938</v>
      </c>
      <c r="I50" s="13">
        <v>21.888760000000001</v>
      </c>
      <c r="J50" s="14">
        <v>186.62218000000001</v>
      </c>
      <c r="K50" s="13">
        <v>2.3970400000000001</v>
      </c>
      <c r="L50" s="13">
        <v>20.9741</v>
      </c>
      <c r="M50" s="14">
        <v>44.187539999999998</v>
      </c>
      <c r="N50" s="107"/>
      <c r="O50" s="108"/>
      <c r="P50" s="108"/>
      <c r="Q50" s="109"/>
    </row>
    <row r="51" spans="1:17" x14ac:dyDescent="0.25">
      <c r="A51" s="110" t="s">
        <v>16</v>
      </c>
      <c r="B51" s="110" t="s">
        <v>59</v>
      </c>
      <c r="C51" s="5" t="s">
        <v>60</v>
      </c>
      <c r="D51" s="12">
        <v>18.794</v>
      </c>
      <c r="E51" s="13">
        <v>1.87</v>
      </c>
      <c r="F51" s="13">
        <v>22.12</v>
      </c>
      <c r="G51" s="13">
        <v>140.11000000000001</v>
      </c>
      <c r="H51" s="15">
        <v>35.144780000000004</v>
      </c>
      <c r="I51" s="13">
        <v>415.72328000000005</v>
      </c>
      <c r="J51" s="14">
        <v>2633.2273400000004</v>
      </c>
      <c r="K51" s="13">
        <v>27.251300000000001</v>
      </c>
      <c r="L51" s="13">
        <v>404.82276000000002</v>
      </c>
      <c r="M51" s="14">
        <v>900.23260000000005</v>
      </c>
      <c r="N51" s="107">
        <f>(D52-D51)/D51</f>
        <v>-0.74832393317016066</v>
      </c>
      <c r="O51" s="108">
        <f>(K52-K51)/K51</f>
        <v>-0.74485253914492155</v>
      </c>
      <c r="P51" s="108">
        <f>(L52-L51)/L51</f>
        <v>-0.77040693067751431</v>
      </c>
      <c r="Q51" s="109">
        <f>(M52-M51)/M51</f>
        <v>-0.78562873639546038</v>
      </c>
    </row>
    <row r="52" spans="1:17" x14ac:dyDescent="0.25">
      <c r="A52" s="110"/>
      <c r="B52" s="110"/>
      <c r="C52" s="5" t="s">
        <v>61</v>
      </c>
      <c r="D52" s="12">
        <v>4.7300000000000004</v>
      </c>
      <c r="E52" s="13">
        <v>1.89</v>
      </c>
      <c r="F52" s="13">
        <v>20.23</v>
      </c>
      <c r="G52" s="13">
        <v>133</v>
      </c>
      <c r="H52" s="15">
        <v>8.9397000000000002</v>
      </c>
      <c r="I52" s="13">
        <v>95.687900000000013</v>
      </c>
      <c r="J52" s="14">
        <v>629.09</v>
      </c>
      <c r="K52" s="13">
        <v>6.9531000000000001</v>
      </c>
      <c r="L52" s="13">
        <v>92.944500000000005</v>
      </c>
      <c r="M52" s="14">
        <v>192.98400000000001</v>
      </c>
      <c r="N52" s="107"/>
      <c r="O52" s="108"/>
      <c r="P52" s="108"/>
      <c r="Q52" s="109"/>
    </row>
    <row r="53" spans="1:17" x14ac:dyDescent="0.25">
      <c r="A53" s="110"/>
      <c r="B53" s="110" t="s">
        <v>62</v>
      </c>
      <c r="C53" s="5" t="s">
        <v>60</v>
      </c>
      <c r="D53" s="12">
        <v>15.365</v>
      </c>
      <c r="E53" s="13">
        <v>1.87</v>
      </c>
      <c r="F53" s="13">
        <v>21.9</v>
      </c>
      <c r="G53" s="14">
        <v>139.66</v>
      </c>
      <c r="H53" s="13">
        <v>28.732550000000003</v>
      </c>
      <c r="I53" s="13">
        <v>336.49349999999998</v>
      </c>
      <c r="J53" s="13">
        <v>2145.8759</v>
      </c>
      <c r="K53" s="15">
        <v>22.279250000000001</v>
      </c>
      <c r="L53" s="13">
        <v>327.58179999999999</v>
      </c>
      <c r="M53" s="14">
        <v>729.22289999999998</v>
      </c>
      <c r="N53" s="107">
        <f>(D54-D53)/D53</f>
        <v>-0.7605597136348845</v>
      </c>
      <c r="O53" s="108">
        <f>(K54-K53)/K53</f>
        <v>-0.75560577667560624</v>
      </c>
      <c r="P53" s="108">
        <f>(L54-L53)/L53</f>
        <v>-0.78740128419832855</v>
      </c>
      <c r="Q53" s="109">
        <f>(M54-M53)/M53</f>
        <v>-0.80076913382725634</v>
      </c>
    </row>
    <row r="54" spans="1:17" x14ac:dyDescent="0.25">
      <c r="A54" s="110"/>
      <c r="B54" s="110"/>
      <c r="C54" s="5" t="s">
        <v>61</v>
      </c>
      <c r="D54" s="12">
        <v>3.6789999999999998</v>
      </c>
      <c r="E54" s="13">
        <v>1.9</v>
      </c>
      <c r="F54" s="13">
        <v>19.510000000000002</v>
      </c>
      <c r="G54" s="14">
        <v>131.69999999999999</v>
      </c>
      <c r="H54" s="13">
        <v>6.9900999999999991</v>
      </c>
      <c r="I54" s="13">
        <v>71.777290000000008</v>
      </c>
      <c r="J54" s="13">
        <v>484.52429999999993</v>
      </c>
      <c r="K54" s="15">
        <v>5.4449199999999998</v>
      </c>
      <c r="L54" s="13">
        <v>69.643469999999994</v>
      </c>
      <c r="M54" s="14">
        <v>145.28371000000001</v>
      </c>
      <c r="N54" s="107"/>
      <c r="O54" s="108"/>
      <c r="P54" s="108"/>
      <c r="Q54" s="109"/>
    </row>
    <row r="55" spans="1:17" x14ac:dyDescent="0.25">
      <c r="A55" s="110" t="s">
        <v>17</v>
      </c>
      <c r="B55" s="110" t="s">
        <v>59</v>
      </c>
      <c r="C55" s="5" t="s">
        <v>60</v>
      </c>
      <c r="D55" s="12">
        <v>18.321999999999999</v>
      </c>
      <c r="E55" s="13">
        <v>1.98</v>
      </c>
      <c r="F55" s="13">
        <v>23.81</v>
      </c>
      <c r="G55" s="14">
        <v>143.97999999999999</v>
      </c>
      <c r="H55" s="13">
        <v>36.277560000000001</v>
      </c>
      <c r="I55" s="13">
        <v>436.24681999999996</v>
      </c>
      <c r="J55" s="13">
        <v>2638.0015599999997</v>
      </c>
      <c r="K55" s="15">
        <v>32.979599999999998</v>
      </c>
      <c r="L55" s="13">
        <v>425.62005999999997</v>
      </c>
      <c r="M55" s="14">
        <v>946.51451999999995</v>
      </c>
      <c r="N55" s="107">
        <f>(D56-D55)/D55</f>
        <v>-0.71318633336971948</v>
      </c>
      <c r="O55" s="108">
        <f>(K56-K55)/K55</f>
        <v>-0.71159292411066233</v>
      </c>
      <c r="P55" s="108">
        <f>(L56-L55)/L55</f>
        <v>-0.73331144213456467</v>
      </c>
      <c r="Q55" s="109">
        <f>(M56-M55)/M55</f>
        <v>-0.7479415318425332</v>
      </c>
    </row>
    <row r="56" spans="1:17" x14ac:dyDescent="0.25">
      <c r="A56" s="110"/>
      <c r="B56" s="110"/>
      <c r="C56" s="5" t="s">
        <v>61</v>
      </c>
      <c r="D56" s="12">
        <v>5.2549999999999999</v>
      </c>
      <c r="E56" s="13">
        <v>1.99</v>
      </c>
      <c r="F56" s="13">
        <v>22.18</v>
      </c>
      <c r="G56" s="14">
        <v>137.72999999999999</v>
      </c>
      <c r="H56" s="13">
        <v>10.45745</v>
      </c>
      <c r="I56" s="13">
        <v>116.55589999999999</v>
      </c>
      <c r="J56" s="13">
        <v>723.77114999999992</v>
      </c>
      <c r="K56" s="15">
        <v>9.5115499999999997</v>
      </c>
      <c r="L56" s="13">
        <v>113.50800000000001</v>
      </c>
      <c r="M56" s="14">
        <v>238.577</v>
      </c>
      <c r="N56" s="107"/>
      <c r="O56" s="108"/>
      <c r="P56" s="108"/>
      <c r="Q56" s="109"/>
    </row>
    <row r="57" spans="1:17" x14ac:dyDescent="0.25">
      <c r="A57" s="110"/>
      <c r="B57" s="110" t="s">
        <v>62</v>
      </c>
      <c r="C57" s="5" t="s">
        <v>60</v>
      </c>
      <c r="D57" s="12">
        <v>18.923999999999999</v>
      </c>
      <c r="E57" s="13">
        <v>1.98</v>
      </c>
      <c r="F57" s="13">
        <v>22.62</v>
      </c>
      <c r="G57" s="13">
        <v>142.26</v>
      </c>
      <c r="H57" s="15">
        <v>37.469519999999996</v>
      </c>
      <c r="I57" s="13">
        <v>428.06088</v>
      </c>
      <c r="J57" s="14">
        <v>2692.1282399999996</v>
      </c>
      <c r="K57" s="13">
        <v>34.063200000000002</v>
      </c>
      <c r="L57" s="13">
        <v>417.08495999999997</v>
      </c>
      <c r="M57" s="14">
        <v>944.87531999999999</v>
      </c>
      <c r="N57" s="107">
        <f>(D58-D57)/D57</f>
        <v>-0.94261255548509837</v>
      </c>
      <c r="O57" s="108">
        <f>(K58-K57)/K57</f>
        <v>-0.9387867258507715</v>
      </c>
      <c r="P57" s="108">
        <f>(L58-L57)/L57</f>
        <v>-0.96617681922647125</v>
      </c>
      <c r="Q57" s="109">
        <f>(M58-M57)/M57</f>
        <v>-0.97225449808552522</v>
      </c>
    </row>
    <row r="58" spans="1:17" x14ac:dyDescent="0.25">
      <c r="A58" s="110"/>
      <c r="B58" s="110"/>
      <c r="C58" s="5" t="s">
        <v>61</v>
      </c>
      <c r="D58" s="12">
        <v>1.0860000000000001</v>
      </c>
      <c r="E58" s="13">
        <v>2.1</v>
      </c>
      <c r="F58" s="13">
        <v>13.57</v>
      </c>
      <c r="G58" s="13">
        <v>116.47</v>
      </c>
      <c r="H58" s="15">
        <v>2.2806000000000002</v>
      </c>
      <c r="I58" s="13">
        <v>14.737020000000001</v>
      </c>
      <c r="J58" s="14">
        <v>126.48642000000001</v>
      </c>
      <c r="K58" s="13">
        <v>2.0851199999999999</v>
      </c>
      <c r="L58" s="13">
        <v>14.107140000000001</v>
      </c>
      <c r="M58" s="14">
        <v>26.216040000000003</v>
      </c>
      <c r="N58" s="107"/>
      <c r="O58" s="108"/>
      <c r="P58" s="108"/>
      <c r="Q58" s="109"/>
    </row>
    <row r="59" spans="1:17" x14ac:dyDescent="0.25">
      <c r="A59" s="110" t="s">
        <v>20</v>
      </c>
      <c r="B59" s="110" t="s">
        <v>59</v>
      </c>
      <c r="C59" s="5" t="s">
        <v>60</v>
      </c>
      <c r="D59" s="12">
        <v>7.3109999999999999</v>
      </c>
      <c r="E59" s="13">
        <v>1.92</v>
      </c>
      <c r="F59" s="13">
        <v>22.46</v>
      </c>
      <c r="G59" s="13">
        <v>140.38999999999999</v>
      </c>
      <c r="H59" s="15">
        <v>14.03712</v>
      </c>
      <c r="I59" s="13">
        <v>164.20506</v>
      </c>
      <c r="J59" s="14">
        <v>1026.3912899999998</v>
      </c>
      <c r="K59" s="13">
        <v>10.9665</v>
      </c>
      <c r="L59" s="13">
        <v>159.96467999999999</v>
      </c>
      <c r="M59" s="14">
        <v>344.20187999999996</v>
      </c>
      <c r="N59" s="107">
        <f>(D60-D59)/D59</f>
        <v>-0.7852550950622349</v>
      </c>
      <c r="O59" s="108">
        <f>(K60-K59)/K59</f>
        <v>-0.77809693156430948</v>
      </c>
      <c r="P59" s="108">
        <f>(L60-L59)/L59</f>
        <v>-0.88202770761645632</v>
      </c>
      <c r="Q59" s="109">
        <f>(M60-M59)/M59</f>
        <v>-0.89559237735714869</v>
      </c>
    </row>
    <row r="60" spans="1:17" x14ac:dyDescent="0.25">
      <c r="A60" s="110"/>
      <c r="B60" s="110"/>
      <c r="C60" s="5" t="s">
        <v>61</v>
      </c>
      <c r="D60" s="12">
        <v>1.57</v>
      </c>
      <c r="E60" s="13">
        <v>1.97</v>
      </c>
      <c r="F60" s="13">
        <v>12.6</v>
      </c>
      <c r="G60" s="13">
        <v>116.2</v>
      </c>
      <c r="H60" s="15">
        <v>3.0929000000000002</v>
      </c>
      <c r="I60" s="13">
        <v>19.782</v>
      </c>
      <c r="J60" s="14">
        <v>182.434</v>
      </c>
      <c r="K60" s="13">
        <v>2.4335</v>
      </c>
      <c r="L60" s="13">
        <v>18.871400000000001</v>
      </c>
      <c r="M60" s="14">
        <v>35.9373</v>
      </c>
      <c r="N60" s="107"/>
      <c r="O60" s="108"/>
      <c r="P60" s="108"/>
      <c r="Q60" s="109"/>
    </row>
    <row r="61" spans="1:17" x14ac:dyDescent="0.25">
      <c r="A61" s="110"/>
      <c r="B61" s="110" t="s">
        <v>62</v>
      </c>
      <c r="C61" s="5" t="s">
        <v>60</v>
      </c>
      <c r="D61" s="12">
        <v>14.167</v>
      </c>
      <c r="E61" s="13">
        <v>1.9</v>
      </c>
      <c r="F61" s="13">
        <v>22.66</v>
      </c>
      <c r="G61" s="13">
        <v>142.28</v>
      </c>
      <c r="H61" s="15">
        <v>26.917299999999997</v>
      </c>
      <c r="I61" s="13">
        <v>321.02422000000001</v>
      </c>
      <c r="J61" s="14">
        <v>2015.68076</v>
      </c>
      <c r="K61" s="13">
        <v>20.96716</v>
      </c>
      <c r="L61" s="13">
        <v>312.80735999999996</v>
      </c>
      <c r="M61" s="14">
        <v>693.75798999999995</v>
      </c>
      <c r="N61" s="107">
        <f>(D62-D61)/D61</f>
        <v>-0.91099032963930271</v>
      </c>
      <c r="O61" s="108">
        <f>(K62-K61)/K61</f>
        <v>-0.90557757941466566</v>
      </c>
      <c r="P61" s="108">
        <f>(L62-L61)/L61</f>
        <v>-0.94303864845123853</v>
      </c>
      <c r="Q61" s="109">
        <f>(M62-M61)/M61</f>
        <v>-0.95148727584384296</v>
      </c>
    </row>
    <row r="62" spans="1:17" x14ac:dyDescent="0.25">
      <c r="A62" s="110"/>
      <c r="B62" s="110"/>
      <c r="C62" s="5" t="s">
        <v>61</v>
      </c>
      <c r="D62" s="12">
        <v>1.2609999999999999</v>
      </c>
      <c r="E62" s="13">
        <v>1.99</v>
      </c>
      <c r="F62" s="13">
        <v>14.71</v>
      </c>
      <c r="G62" s="13">
        <v>120</v>
      </c>
      <c r="H62" s="15">
        <v>2.5093899999999998</v>
      </c>
      <c r="I62" s="13">
        <v>18.549309999999998</v>
      </c>
      <c r="J62" s="14">
        <v>151.32</v>
      </c>
      <c r="K62" s="13">
        <v>1.97977</v>
      </c>
      <c r="L62" s="13">
        <v>17.81793</v>
      </c>
      <c r="M62" s="14">
        <v>33.656089999999999</v>
      </c>
      <c r="N62" s="107"/>
      <c r="O62" s="108"/>
      <c r="P62" s="108"/>
      <c r="Q62" s="109"/>
    </row>
    <row r="63" spans="1:17" x14ac:dyDescent="0.25">
      <c r="A63" s="110" t="s">
        <v>21</v>
      </c>
      <c r="B63" s="110" t="s">
        <v>59</v>
      </c>
      <c r="C63" s="5" t="s">
        <v>60</v>
      </c>
      <c r="D63" s="12">
        <v>1.0469999999999999</v>
      </c>
      <c r="E63" s="13">
        <v>1.98</v>
      </c>
      <c r="F63" s="13">
        <v>7.92</v>
      </c>
      <c r="G63" s="13">
        <v>105.06</v>
      </c>
      <c r="H63" s="15">
        <v>2.0730599999999999</v>
      </c>
      <c r="I63" s="13">
        <v>8.2922399999999996</v>
      </c>
      <c r="J63" s="14">
        <v>109.99781999999999</v>
      </c>
      <c r="K63" s="13">
        <v>1.6333199999999999</v>
      </c>
      <c r="L63" s="13">
        <v>7.6849799999999995</v>
      </c>
      <c r="M63" s="14">
        <v>14.343899999999998</v>
      </c>
      <c r="N63" s="107">
        <f>(D64-D63)/D63</f>
        <v>-0.49952244508118426</v>
      </c>
      <c r="O63" s="108">
        <f>(K64-K63)/K63</f>
        <v>-0.46102417162589077</v>
      </c>
      <c r="P63" s="108">
        <f>(L64-L63)/L63</f>
        <v>-0.50224984320063282</v>
      </c>
      <c r="Q63" s="109">
        <f>(M64-M63)/M63</f>
        <v>-0.55066613682471288</v>
      </c>
    </row>
    <row r="64" spans="1:17" x14ac:dyDescent="0.25">
      <c r="A64" s="110"/>
      <c r="B64" s="110"/>
      <c r="C64" s="5" t="s">
        <v>61</v>
      </c>
      <c r="D64" s="12">
        <v>0.52400000000000002</v>
      </c>
      <c r="E64" s="13">
        <v>2.1</v>
      </c>
      <c r="F64" s="13">
        <v>7.88</v>
      </c>
      <c r="G64" s="13">
        <v>103.66</v>
      </c>
      <c r="H64" s="15">
        <v>1.1004</v>
      </c>
      <c r="I64" s="13">
        <v>4.1291200000000003</v>
      </c>
      <c r="J64" s="14">
        <v>54.317840000000004</v>
      </c>
      <c r="K64" s="13">
        <v>0.88031999999999999</v>
      </c>
      <c r="L64" s="13">
        <v>3.8252000000000002</v>
      </c>
      <c r="M64" s="14">
        <v>6.4452000000000007</v>
      </c>
      <c r="N64" s="107"/>
      <c r="O64" s="108"/>
      <c r="P64" s="108"/>
      <c r="Q64" s="109"/>
    </row>
    <row r="65" spans="1:17" x14ac:dyDescent="0.25">
      <c r="A65" s="110"/>
      <c r="B65" s="110" t="s">
        <v>62</v>
      </c>
      <c r="C65" s="5" t="s">
        <v>60</v>
      </c>
      <c r="D65" s="12">
        <v>1.0469999999999999</v>
      </c>
      <c r="E65" s="13">
        <v>1.99</v>
      </c>
      <c r="F65" s="13">
        <v>8.0299999999999994</v>
      </c>
      <c r="G65" s="13">
        <v>104.64</v>
      </c>
      <c r="H65" s="15">
        <v>2.0835299999999997</v>
      </c>
      <c r="I65" s="13">
        <v>8.4074099999999987</v>
      </c>
      <c r="J65" s="14">
        <v>109.55807999999999</v>
      </c>
      <c r="K65" s="13">
        <v>1.6437899999999999</v>
      </c>
      <c r="L65" s="13">
        <v>7.8001499999999995</v>
      </c>
      <c r="M65" s="14">
        <v>13.904159999999999</v>
      </c>
      <c r="N65" s="107">
        <f>(D66-D65)/D65</f>
        <v>-0.50047755491881563</v>
      </c>
      <c r="O65" s="108">
        <f>(K66-K65)/K65</f>
        <v>-0.46547916704688552</v>
      </c>
      <c r="P65" s="108">
        <f>(L66-L65)/L65</f>
        <v>-0.50315955462394946</v>
      </c>
      <c r="Q65" s="109">
        <f>(M66-M65)/M65</f>
        <v>-0.51401882602041404</v>
      </c>
    </row>
    <row r="66" spans="1:17" x14ac:dyDescent="0.25">
      <c r="A66" s="110"/>
      <c r="B66" s="110"/>
      <c r="C66" s="5" t="s">
        <v>61</v>
      </c>
      <c r="D66" s="12">
        <v>0.52300000000000002</v>
      </c>
      <c r="E66" s="13">
        <v>2.1</v>
      </c>
      <c r="F66" s="13">
        <v>7.99</v>
      </c>
      <c r="G66" s="13">
        <v>104.28</v>
      </c>
      <c r="H66" s="15">
        <v>1.0983000000000001</v>
      </c>
      <c r="I66" s="13">
        <v>4.1787700000000001</v>
      </c>
      <c r="J66" s="14">
        <v>54.538440000000001</v>
      </c>
      <c r="K66" s="13">
        <v>0.87863999999999998</v>
      </c>
      <c r="L66" s="13">
        <v>3.8754300000000002</v>
      </c>
      <c r="M66" s="14">
        <v>6.7571599999999998</v>
      </c>
      <c r="N66" s="107"/>
      <c r="O66" s="108"/>
      <c r="P66" s="108"/>
      <c r="Q66" s="109"/>
    </row>
    <row r="67" spans="1:17" x14ac:dyDescent="0.25">
      <c r="A67" s="110" t="s">
        <v>23</v>
      </c>
      <c r="B67" s="110" t="s">
        <v>59</v>
      </c>
      <c r="C67" s="5" t="s">
        <v>60</v>
      </c>
      <c r="D67" s="12">
        <v>16.071000000000002</v>
      </c>
      <c r="E67" s="13">
        <v>3.2</v>
      </c>
      <c r="F67" s="13">
        <v>26.65</v>
      </c>
      <c r="G67" s="13">
        <v>153.38</v>
      </c>
      <c r="H67" s="15">
        <v>51.427200000000006</v>
      </c>
      <c r="I67" s="13">
        <v>428.29214999999999</v>
      </c>
      <c r="J67" s="14">
        <v>2464.9699800000003</v>
      </c>
      <c r="K67" s="13">
        <v>44.677379999999999</v>
      </c>
      <c r="L67" s="13">
        <v>418.97097000000002</v>
      </c>
      <c r="M67" s="13">
        <v>978.72390000000007</v>
      </c>
      <c r="N67" s="107">
        <f>(D68-D67)/D67</f>
        <v>-0.21884139132599098</v>
      </c>
      <c r="O67" s="108">
        <f>(K68-K67)/K67</f>
        <v>-0.15421316111195418</v>
      </c>
      <c r="P67" s="108">
        <f>(L68-L67)/L67</f>
        <v>-0.22513380819678278</v>
      </c>
      <c r="Q67" s="109">
        <f>(M68-M67)/M67</f>
        <v>-0.22705061151566855</v>
      </c>
    </row>
    <row r="68" spans="1:17" x14ac:dyDescent="0.25">
      <c r="A68" s="110"/>
      <c r="B68" s="110"/>
      <c r="C68" s="5" t="s">
        <v>61</v>
      </c>
      <c r="D68" s="12">
        <v>12.554</v>
      </c>
      <c r="E68" s="13">
        <v>3.43</v>
      </c>
      <c r="F68" s="13">
        <v>26.44</v>
      </c>
      <c r="G68" s="13">
        <v>152.75</v>
      </c>
      <c r="H68" s="15">
        <v>43.060220000000001</v>
      </c>
      <c r="I68" s="13">
        <v>331.92776000000003</v>
      </c>
      <c r="J68" s="14">
        <v>1917.6235000000001</v>
      </c>
      <c r="K68" s="13">
        <v>37.78754</v>
      </c>
      <c r="L68" s="13">
        <v>324.64643999999998</v>
      </c>
      <c r="M68" s="13">
        <v>756.50404000000003</v>
      </c>
      <c r="N68" s="107"/>
      <c r="O68" s="108"/>
      <c r="P68" s="108"/>
      <c r="Q68" s="109"/>
    </row>
    <row r="69" spans="1:17" x14ac:dyDescent="0.25">
      <c r="A69" s="110"/>
      <c r="B69" s="110" t="s">
        <v>62</v>
      </c>
      <c r="C69" s="5" t="s">
        <v>60</v>
      </c>
      <c r="D69" s="12">
        <v>32.399000000000001</v>
      </c>
      <c r="E69" s="13">
        <v>3.08</v>
      </c>
      <c r="F69" s="13">
        <v>27.9</v>
      </c>
      <c r="G69" s="13">
        <v>156.83000000000001</v>
      </c>
      <c r="H69" s="15">
        <v>99.788920000000005</v>
      </c>
      <c r="I69" s="13">
        <v>903.93209999999999</v>
      </c>
      <c r="J69" s="14">
        <v>5081.1351700000005</v>
      </c>
      <c r="K69" s="13">
        <v>86.181340000000006</v>
      </c>
      <c r="L69" s="13">
        <v>885.14068000000009</v>
      </c>
      <c r="M69" s="13">
        <v>2084.87565</v>
      </c>
      <c r="N69" s="107">
        <f>(D70-D69)/D69</f>
        <v>-0.18923423562455632</v>
      </c>
      <c r="O69" s="108">
        <f>(K70-K69)/K69</f>
        <v>-0.12827440371662827</v>
      </c>
      <c r="P69" s="108">
        <f>(L70-L69)/L69</f>
        <v>-0.18775040369853974</v>
      </c>
      <c r="Q69" s="109">
        <f>(M70-M69)/M69</f>
        <v>-0.17550098491485566</v>
      </c>
    </row>
    <row r="70" spans="1:17" x14ac:dyDescent="0.25">
      <c r="A70" s="110"/>
      <c r="B70" s="110"/>
      <c r="C70" s="5" t="s">
        <v>61</v>
      </c>
      <c r="D70" s="12">
        <v>26.268000000000001</v>
      </c>
      <c r="E70" s="13">
        <v>3.28</v>
      </c>
      <c r="F70" s="13">
        <v>27.95</v>
      </c>
      <c r="G70" s="13">
        <v>157.93</v>
      </c>
      <c r="H70" s="15">
        <v>86.15903999999999</v>
      </c>
      <c r="I70" s="13">
        <v>734.19060000000002</v>
      </c>
      <c r="J70" s="14">
        <v>4148.5052400000004</v>
      </c>
      <c r="K70" s="13">
        <v>75.126480000000001</v>
      </c>
      <c r="L70" s="13">
        <v>718.95516000000009</v>
      </c>
      <c r="M70" s="13">
        <v>1718.97792</v>
      </c>
      <c r="N70" s="107"/>
      <c r="O70" s="108"/>
      <c r="P70" s="108"/>
      <c r="Q70" s="109"/>
    </row>
    <row r="71" spans="1:17" x14ac:dyDescent="0.25">
      <c r="A71" s="110" t="s">
        <v>25</v>
      </c>
      <c r="B71" s="110" t="s">
        <v>59</v>
      </c>
      <c r="C71" s="5" t="s">
        <v>60</v>
      </c>
      <c r="D71" s="12">
        <v>1.0469999999999999</v>
      </c>
      <c r="E71" s="13">
        <v>2</v>
      </c>
      <c r="F71" s="13">
        <v>9.3699999999999992</v>
      </c>
      <c r="G71" s="13">
        <v>108.03</v>
      </c>
      <c r="H71" s="15">
        <v>2.0939999999999999</v>
      </c>
      <c r="I71" s="13">
        <v>9.8103899999999982</v>
      </c>
      <c r="J71" s="14">
        <v>113.10740999999999</v>
      </c>
      <c r="K71" s="13">
        <v>1.6542600000000001</v>
      </c>
      <c r="L71" s="13">
        <v>9.203129999999998</v>
      </c>
      <c r="M71" s="14">
        <v>18.961169999999999</v>
      </c>
      <c r="N71" s="107">
        <f>(D72-D71)/D71</f>
        <v>-0.49952244508118426</v>
      </c>
      <c r="O71" s="108">
        <f>(K72-K71)/K71</f>
        <v>-0.46467907100455796</v>
      </c>
      <c r="P71" s="108">
        <f>(L72-L71)/L71</f>
        <v>-0.57695697007431157</v>
      </c>
      <c r="Q71" s="109">
        <f>(M72-M71)/M71</f>
        <v>-0.62332915110196252</v>
      </c>
    </row>
    <row r="72" spans="1:17" x14ac:dyDescent="0.25">
      <c r="A72" s="110"/>
      <c r="B72" s="110"/>
      <c r="C72" s="5" t="s">
        <v>61</v>
      </c>
      <c r="D72" s="12">
        <v>0.52400000000000002</v>
      </c>
      <c r="E72" s="13">
        <v>2.11</v>
      </c>
      <c r="F72" s="13">
        <v>8.01</v>
      </c>
      <c r="G72" s="13">
        <v>103.56</v>
      </c>
      <c r="H72" s="15">
        <v>1.10564</v>
      </c>
      <c r="I72" s="13">
        <v>4.1972399999999999</v>
      </c>
      <c r="J72" s="14">
        <v>54.265440000000005</v>
      </c>
      <c r="K72" s="13">
        <v>0.88556000000000001</v>
      </c>
      <c r="L72" s="13">
        <v>3.8933200000000001</v>
      </c>
      <c r="M72" s="14">
        <v>7.1421200000000011</v>
      </c>
      <c r="N72" s="107"/>
      <c r="O72" s="108"/>
      <c r="P72" s="108"/>
      <c r="Q72" s="109"/>
    </row>
    <row r="73" spans="1:17" x14ac:dyDescent="0.25">
      <c r="A73" s="110"/>
      <c r="B73" s="110" t="s">
        <v>62</v>
      </c>
      <c r="C73" s="5" t="s">
        <v>60</v>
      </c>
      <c r="D73" s="12">
        <v>1.0469999999999999</v>
      </c>
      <c r="E73" s="13">
        <v>1.98</v>
      </c>
      <c r="F73" s="13">
        <v>8.32</v>
      </c>
      <c r="G73" s="13">
        <v>105.09</v>
      </c>
      <c r="H73" s="15">
        <v>2.0730599999999999</v>
      </c>
      <c r="I73" s="13">
        <v>8.7110400000000006</v>
      </c>
      <c r="J73" s="14">
        <v>110.02923</v>
      </c>
      <c r="K73" s="13">
        <v>1.6333199999999999</v>
      </c>
      <c r="L73" s="13">
        <v>8.1142500000000002</v>
      </c>
      <c r="M73" s="14">
        <v>15.87252</v>
      </c>
      <c r="N73" s="107">
        <f>(D74-D73)/D73</f>
        <v>-0.49952244508118426</v>
      </c>
      <c r="O73" s="108">
        <f>(K74-K73)/K73</f>
        <v>-0.457815982171283</v>
      </c>
      <c r="P73" s="108">
        <f>(L74-L73)/L73</f>
        <v>-0.52147887974859042</v>
      </c>
      <c r="Q73" s="109">
        <f>(M74-M73)/M73</f>
        <v>-0.51999052450398553</v>
      </c>
    </row>
    <row r="74" spans="1:17" x14ac:dyDescent="0.25">
      <c r="A74" s="110"/>
      <c r="B74" s="110"/>
      <c r="C74" s="5" t="s">
        <v>61</v>
      </c>
      <c r="D74" s="12">
        <v>0.52400000000000002</v>
      </c>
      <c r="E74" s="13">
        <v>2.11</v>
      </c>
      <c r="F74" s="13">
        <v>7.99</v>
      </c>
      <c r="G74" s="13">
        <v>104.47</v>
      </c>
      <c r="H74" s="15">
        <v>1.10564</v>
      </c>
      <c r="I74" s="13">
        <v>4.1867600000000005</v>
      </c>
      <c r="J74" s="14">
        <v>54.742280000000001</v>
      </c>
      <c r="K74" s="13">
        <v>0.88556000000000001</v>
      </c>
      <c r="L74" s="13">
        <v>3.8828400000000003</v>
      </c>
      <c r="M74" s="14">
        <v>7.6189599999999995</v>
      </c>
      <c r="N74" s="107"/>
      <c r="O74" s="108"/>
      <c r="P74" s="108"/>
      <c r="Q74" s="109"/>
    </row>
    <row r="75" spans="1:17" x14ac:dyDescent="0.25">
      <c r="A75" s="110" t="s">
        <v>26</v>
      </c>
      <c r="B75" s="110" t="s">
        <v>59</v>
      </c>
      <c r="C75" s="5" t="s">
        <v>60</v>
      </c>
      <c r="D75" s="12">
        <v>1.012</v>
      </c>
      <c r="E75" s="13">
        <v>2.0299999999999998</v>
      </c>
      <c r="F75" s="13">
        <v>13.38</v>
      </c>
      <c r="G75" s="13">
        <v>114.18</v>
      </c>
      <c r="H75" s="15">
        <v>2.05436</v>
      </c>
      <c r="I75" s="13">
        <v>13.540560000000001</v>
      </c>
      <c r="J75" s="14">
        <v>115.55016000000001</v>
      </c>
      <c r="K75" s="13">
        <v>1.6293200000000001</v>
      </c>
      <c r="L75" s="13">
        <v>12.953600000000002</v>
      </c>
      <c r="M75" s="14">
        <v>24.97616</v>
      </c>
      <c r="N75" s="107">
        <f>(D76-D75)/D75</f>
        <v>3.4584980237154068E-2</v>
      </c>
      <c r="O75" s="108">
        <f t="shared" ref="O75:Q75" si="1">(K76-K75)/K75</f>
        <v>3.4584980237154089E-2</v>
      </c>
      <c r="P75" s="108">
        <f t="shared" si="1"/>
        <v>-0.21112895256917011</v>
      </c>
      <c r="Q75" s="109">
        <f t="shared" si="1"/>
        <v>-0.18591408767400588</v>
      </c>
    </row>
    <row r="76" spans="1:17" x14ac:dyDescent="0.25">
      <c r="A76" s="110"/>
      <c r="B76" s="110"/>
      <c r="C76" s="5" t="s">
        <v>61</v>
      </c>
      <c r="D76" s="12">
        <v>1.0469999999999999</v>
      </c>
      <c r="E76" s="13">
        <v>2.0299999999999998</v>
      </c>
      <c r="F76" s="13">
        <v>10.34</v>
      </c>
      <c r="G76" s="13">
        <v>108.91</v>
      </c>
      <c r="H76" s="15">
        <v>2.1254099999999996</v>
      </c>
      <c r="I76" s="13">
        <v>10.825979999999999</v>
      </c>
      <c r="J76" s="14">
        <v>114.02876999999999</v>
      </c>
      <c r="K76" s="13">
        <v>1.68567</v>
      </c>
      <c r="L76" s="13">
        <v>10.218719999999999</v>
      </c>
      <c r="M76" s="14">
        <v>20.332740000000001</v>
      </c>
      <c r="N76" s="107"/>
      <c r="O76" s="108"/>
      <c r="P76" s="108"/>
      <c r="Q76" s="109"/>
    </row>
    <row r="77" spans="1:17" x14ac:dyDescent="0.25">
      <c r="A77" s="110"/>
      <c r="B77" s="110" t="s">
        <v>62</v>
      </c>
      <c r="C77" s="5" t="s">
        <v>60</v>
      </c>
      <c r="D77" s="12">
        <v>1.0469999999999999</v>
      </c>
      <c r="E77" s="13">
        <v>2.02</v>
      </c>
      <c r="F77" s="13">
        <v>12.99</v>
      </c>
      <c r="G77" s="13">
        <v>114.23</v>
      </c>
      <c r="H77" s="15">
        <v>2.1149399999999998</v>
      </c>
      <c r="I77" s="13">
        <v>13.600529999999999</v>
      </c>
      <c r="J77" s="14">
        <v>119.59881</v>
      </c>
      <c r="K77" s="13">
        <v>1.6752</v>
      </c>
      <c r="L77" s="13">
        <v>12.993269999999999</v>
      </c>
      <c r="M77" s="14">
        <v>25.902779999999996</v>
      </c>
      <c r="N77" s="107">
        <f>(D78-D77)/D77</f>
        <v>0</v>
      </c>
      <c r="O77" s="108">
        <f t="shared" ref="O77:Q77" si="2">(K78-K77)/K77</f>
        <v>6.2499999999999873E-3</v>
      </c>
      <c r="P77" s="108">
        <f t="shared" si="2"/>
        <v>-0.21273166800966964</v>
      </c>
      <c r="Q77" s="109">
        <f t="shared" si="2"/>
        <v>-0.16814874696847207</v>
      </c>
    </row>
    <row r="78" spans="1:17" x14ac:dyDescent="0.25">
      <c r="A78" s="110"/>
      <c r="B78" s="110"/>
      <c r="C78" s="5" t="s">
        <v>61</v>
      </c>
      <c r="D78" s="12">
        <v>1.0469999999999999</v>
      </c>
      <c r="E78" s="13">
        <v>2.0299999999999998</v>
      </c>
      <c r="F78" s="13">
        <v>10.35</v>
      </c>
      <c r="G78" s="13">
        <v>110.07</v>
      </c>
      <c r="H78" s="15">
        <v>2.1254099999999996</v>
      </c>
      <c r="I78" s="13">
        <v>10.836449999999999</v>
      </c>
      <c r="J78" s="14">
        <v>115.24328999999999</v>
      </c>
      <c r="K78" s="13">
        <v>1.68567</v>
      </c>
      <c r="L78" s="13">
        <v>10.229189999999999</v>
      </c>
      <c r="M78" s="14">
        <v>21.547259999999998</v>
      </c>
      <c r="N78" s="107"/>
      <c r="O78" s="108"/>
      <c r="P78" s="108"/>
      <c r="Q78" s="109"/>
    </row>
    <row r="79" spans="1:17" x14ac:dyDescent="0.25">
      <c r="A79" s="110" t="s">
        <v>29</v>
      </c>
      <c r="B79" s="110" t="s">
        <v>59</v>
      </c>
      <c r="C79" s="5" t="s">
        <v>60</v>
      </c>
      <c r="D79" s="12">
        <v>4.1870000000000003</v>
      </c>
      <c r="E79" s="13">
        <v>1.89</v>
      </c>
      <c r="F79" s="13">
        <v>21.59</v>
      </c>
      <c r="G79" s="14">
        <v>136.65</v>
      </c>
      <c r="H79" s="13">
        <v>7.91343</v>
      </c>
      <c r="I79" s="13">
        <v>90.397330000000011</v>
      </c>
      <c r="J79" s="13">
        <v>572.15355000000011</v>
      </c>
      <c r="K79" s="15">
        <v>6.15489</v>
      </c>
      <c r="L79" s="13">
        <v>87.96887000000001</v>
      </c>
      <c r="M79" s="14">
        <v>178.74303</v>
      </c>
      <c r="N79" s="107">
        <f>(D80-D79)/D79</f>
        <v>-0.87508956293288753</v>
      </c>
      <c r="O79" s="108">
        <f t="shared" ref="O79:Q79" si="3">(K80-K79)/K79</f>
        <v>-0.8563954839160407</v>
      </c>
      <c r="P79" s="108">
        <f t="shared" si="3"/>
        <v>-0.95576707987723386</v>
      </c>
      <c r="Q79" s="109">
        <f t="shared" si="3"/>
        <v>-0.97035973934200404</v>
      </c>
    </row>
    <row r="80" spans="1:17" x14ac:dyDescent="0.25">
      <c r="A80" s="110"/>
      <c r="B80" s="110"/>
      <c r="C80" s="5" t="s">
        <v>61</v>
      </c>
      <c r="D80" s="12">
        <v>0.52300000000000002</v>
      </c>
      <c r="E80" s="13">
        <v>2.11</v>
      </c>
      <c r="F80" s="13">
        <v>8.02</v>
      </c>
      <c r="G80" s="14">
        <v>104.1</v>
      </c>
      <c r="H80" s="13">
        <v>1.1035299999999999</v>
      </c>
      <c r="I80" s="13">
        <v>4.1944600000000003</v>
      </c>
      <c r="J80" s="13">
        <v>54.444299999999998</v>
      </c>
      <c r="K80" s="15">
        <v>0.88387000000000004</v>
      </c>
      <c r="L80" s="13">
        <v>3.8911200000000004</v>
      </c>
      <c r="M80" s="14">
        <v>5.2979900000000004</v>
      </c>
      <c r="N80" s="107"/>
      <c r="O80" s="108"/>
      <c r="P80" s="108"/>
      <c r="Q80" s="109"/>
    </row>
    <row r="81" spans="1:17" x14ac:dyDescent="0.25">
      <c r="A81" s="110"/>
      <c r="B81" s="110" t="s">
        <v>62</v>
      </c>
      <c r="C81" s="5" t="s">
        <v>60</v>
      </c>
      <c r="D81" s="12">
        <v>4.2050000000000001</v>
      </c>
      <c r="E81" s="13">
        <v>1.9</v>
      </c>
      <c r="F81" s="13">
        <v>20.94</v>
      </c>
      <c r="G81" s="14">
        <v>134.63999999999999</v>
      </c>
      <c r="H81" s="13">
        <v>7.9894999999999996</v>
      </c>
      <c r="I81" s="13">
        <v>88.052700000000002</v>
      </c>
      <c r="J81" s="13">
        <v>566.16120000000001</v>
      </c>
      <c r="K81" s="15">
        <v>6.2233999999999998</v>
      </c>
      <c r="L81" s="13">
        <v>85.613799999999998</v>
      </c>
      <c r="M81" s="14">
        <v>171.01735000000002</v>
      </c>
      <c r="N81" s="107">
        <f>(D82-D81)/D81</f>
        <v>-0.87562425683709866</v>
      </c>
      <c r="O81" s="108">
        <f t="shared" ref="O81:Q81" si="4">(K82-K81)/K81</f>
        <v>-0.85797634733425454</v>
      </c>
      <c r="P81" s="108">
        <f t="shared" si="4"/>
        <v>-0.95436705297510438</v>
      </c>
      <c r="Q81" s="109">
        <f t="shared" si="4"/>
        <v>-0.96590141292681719</v>
      </c>
    </row>
    <row r="82" spans="1:17" x14ac:dyDescent="0.25">
      <c r="A82" s="110"/>
      <c r="B82" s="110"/>
      <c r="C82" s="5" t="s">
        <v>61</v>
      </c>
      <c r="D82" s="12">
        <v>0.52300000000000002</v>
      </c>
      <c r="E82" s="13">
        <v>2.11</v>
      </c>
      <c r="F82" s="13">
        <v>8.0500000000000007</v>
      </c>
      <c r="G82" s="14">
        <v>105.12</v>
      </c>
      <c r="H82" s="13">
        <v>1.1035299999999999</v>
      </c>
      <c r="I82" s="13">
        <v>4.2101500000000005</v>
      </c>
      <c r="J82" s="13">
        <v>54.977760000000004</v>
      </c>
      <c r="K82" s="15">
        <v>0.88387000000000004</v>
      </c>
      <c r="L82" s="13">
        <v>3.9068100000000001</v>
      </c>
      <c r="M82" s="14">
        <v>5.8314500000000002</v>
      </c>
      <c r="N82" s="107"/>
      <c r="O82" s="108"/>
      <c r="P82" s="108"/>
      <c r="Q82" s="109"/>
    </row>
    <row r="83" spans="1:17" x14ac:dyDescent="0.25">
      <c r="A83" s="110" t="s">
        <v>33</v>
      </c>
      <c r="B83" s="110" t="s">
        <v>59</v>
      </c>
      <c r="C83" s="5" t="s">
        <v>60</v>
      </c>
      <c r="D83" s="12">
        <v>11.516</v>
      </c>
      <c r="E83" s="13">
        <v>1.89</v>
      </c>
      <c r="F83" s="13">
        <v>24.32</v>
      </c>
      <c r="G83" s="14">
        <v>144.61000000000001</v>
      </c>
      <c r="H83" s="13">
        <v>21.765239999999999</v>
      </c>
      <c r="I83" s="13">
        <v>280.06912</v>
      </c>
      <c r="J83" s="13">
        <v>1665.3287600000001</v>
      </c>
      <c r="K83" s="15">
        <v>16.928519999999999</v>
      </c>
      <c r="L83" s="13">
        <v>273.38983999999999</v>
      </c>
      <c r="M83" s="14">
        <v>625.08848</v>
      </c>
      <c r="N83" s="107">
        <f>(D84-D83)/D83</f>
        <v>-0.54524140326502257</v>
      </c>
      <c r="O83" s="108">
        <f t="shared" ref="O83:Q83" si="5">(K84-K83)/K83</f>
        <v>-0.54524140326502257</v>
      </c>
      <c r="P83" s="108">
        <f t="shared" si="5"/>
        <v>-0.57071861192793405</v>
      </c>
      <c r="Q83" s="109">
        <f t="shared" si="5"/>
        <v>-0.57825077819383264</v>
      </c>
    </row>
    <row r="84" spans="1:17" x14ac:dyDescent="0.25">
      <c r="A84" s="110"/>
      <c r="B84" s="110"/>
      <c r="C84" s="5" t="s">
        <v>61</v>
      </c>
      <c r="D84" s="12">
        <v>5.2370000000000001</v>
      </c>
      <c r="E84" s="13">
        <v>1.89</v>
      </c>
      <c r="F84" s="13">
        <v>22.99</v>
      </c>
      <c r="G84" s="14">
        <v>140.68</v>
      </c>
      <c r="H84" s="13">
        <v>9.8979300000000006</v>
      </c>
      <c r="I84" s="13">
        <v>120.39863</v>
      </c>
      <c r="J84" s="13">
        <v>736.74116000000004</v>
      </c>
      <c r="K84" s="15">
        <v>7.6983899999999998</v>
      </c>
      <c r="L84" s="13">
        <v>117.36117</v>
      </c>
      <c r="M84" s="14">
        <v>263.63058000000001</v>
      </c>
      <c r="N84" s="107"/>
      <c r="O84" s="108"/>
      <c r="P84" s="108"/>
      <c r="Q84" s="109"/>
    </row>
    <row r="85" spans="1:17" x14ac:dyDescent="0.25">
      <c r="A85" s="110"/>
      <c r="B85" s="110" t="s">
        <v>62</v>
      </c>
      <c r="C85" s="5" t="s">
        <v>60</v>
      </c>
      <c r="D85" s="12">
        <v>10.512</v>
      </c>
      <c r="E85" s="13">
        <v>1.9</v>
      </c>
      <c r="F85" s="13">
        <v>22.71</v>
      </c>
      <c r="G85" s="14">
        <v>141.96</v>
      </c>
      <c r="H85" s="13">
        <v>19.972799999999999</v>
      </c>
      <c r="I85" s="13">
        <v>238.72752000000003</v>
      </c>
      <c r="J85" s="13">
        <v>1492.2835200000002</v>
      </c>
      <c r="K85" s="15">
        <v>15.55776</v>
      </c>
      <c r="L85" s="13">
        <v>232.63056</v>
      </c>
      <c r="M85" s="14">
        <v>542.62944000000005</v>
      </c>
      <c r="N85" s="107">
        <f>(D86-D85)/D85</f>
        <v>-0.84998097412480977</v>
      </c>
      <c r="O85" s="108">
        <f t="shared" ref="O85:Q85" si="6">(K86-K85)/K85</f>
        <v>-0.84288547965773997</v>
      </c>
      <c r="P85" s="108">
        <f t="shared" si="6"/>
        <v>-0.88489276731311661</v>
      </c>
      <c r="Q85" s="109">
        <f t="shared" si="6"/>
        <v>-0.90392039915858602</v>
      </c>
    </row>
    <row r="86" spans="1:17" x14ac:dyDescent="0.25">
      <c r="A86" s="110"/>
      <c r="B86" s="110"/>
      <c r="C86" s="5" t="s">
        <v>61</v>
      </c>
      <c r="D86" s="12">
        <v>1.577</v>
      </c>
      <c r="E86" s="13">
        <v>1.97</v>
      </c>
      <c r="F86" s="13">
        <v>17.559999999999999</v>
      </c>
      <c r="G86" s="14">
        <v>123.4</v>
      </c>
      <c r="H86" s="13">
        <v>3.10669</v>
      </c>
      <c r="I86" s="13">
        <v>27.692119999999996</v>
      </c>
      <c r="J86" s="13">
        <v>194.6018</v>
      </c>
      <c r="K86" s="15">
        <v>2.44435</v>
      </c>
      <c r="L86" s="13">
        <v>26.777460000000001</v>
      </c>
      <c r="M86" s="14">
        <v>52.135620000000003</v>
      </c>
      <c r="N86" s="107"/>
      <c r="O86" s="108"/>
      <c r="P86" s="108"/>
      <c r="Q86" s="109"/>
    </row>
    <row r="87" spans="1:17" x14ac:dyDescent="0.25">
      <c r="A87" s="110" t="s">
        <v>37</v>
      </c>
      <c r="B87" s="110" t="s">
        <v>59</v>
      </c>
      <c r="C87" s="5" t="s">
        <v>60</v>
      </c>
      <c r="D87" s="12">
        <v>0.52300000000000002</v>
      </c>
      <c r="E87" s="13">
        <v>2.11</v>
      </c>
      <c r="F87" s="13">
        <v>4.92</v>
      </c>
      <c r="G87" s="14">
        <v>100.63</v>
      </c>
      <c r="H87" s="13">
        <v>1.1035299999999999</v>
      </c>
      <c r="I87" s="13">
        <v>2.5731600000000001</v>
      </c>
      <c r="J87" s="13">
        <v>52.629489999999997</v>
      </c>
      <c r="K87" s="15">
        <v>0.88387000000000004</v>
      </c>
      <c r="L87" s="13">
        <v>2.2698200000000002</v>
      </c>
      <c r="M87" s="14">
        <v>4.0584800000000003</v>
      </c>
      <c r="N87" s="107">
        <f>(D88-D87)/D87</f>
        <v>0</v>
      </c>
      <c r="O87" s="108">
        <f t="shared" ref="O87:Q87" si="7">(K88-K87)/K87</f>
        <v>-1.1834319526627246E-2</v>
      </c>
      <c r="P87" s="108">
        <f t="shared" si="7"/>
        <v>0</v>
      </c>
      <c r="Q87" s="109">
        <f t="shared" si="7"/>
        <v>-9.7938144329896962E-2</v>
      </c>
    </row>
    <row r="88" spans="1:17" x14ac:dyDescent="0.25">
      <c r="A88" s="110"/>
      <c r="B88" s="110"/>
      <c r="C88" s="5" t="s">
        <v>61</v>
      </c>
      <c r="D88" s="12">
        <v>0.52300000000000002</v>
      </c>
      <c r="E88" s="13">
        <v>2.09</v>
      </c>
      <c r="F88" s="13">
        <v>4.92</v>
      </c>
      <c r="G88" s="14">
        <v>99.88</v>
      </c>
      <c r="H88" s="13">
        <v>1.09307</v>
      </c>
      <c r="I88" s="13">
        <v>2.5731600000000001</v>
      </c>
      <c r="J88" s="13">
        <v>52.23724</v>
      </c>
      <c r="K88" s="15">
        <v>0.87341000000000002</v>
      </c>
      <c r="L88" s="13">
        <v>2.2698200000000002</v>
      </c>
      <c r="M88" s="14">
        <v>3.661</v>
      </c>
      <c r="N88" s="107"/>
      <c r="O88" s="108"/>
      <c r="P88" s="108"/>
      <c r="Q88" s="109"/>
    </row>
    <row r="89" spans="1:17" x14ac:dyDescent="0.25">
      <c r="A89" s="110"/>
      <c r="B89" s="110" t="s">
        <v>62</v>
      </c>
      <c r="C89" s="5" t="s">
        <v>60</v>
      </c>
      <c r="D89" s="12">
        <v>0.52300000000000002</v>
      </c>
      <c r="E89" s="13">
        <v>2.11</v>
      </c>
      <c r="F89" s="13">
        <v>4.91</v>
      </c>
      <c r="G89" s="14">
        <v>99.62</v>
      </c>
      <c r="H89" s="13">
        <v>1.1035299999999999</v>
      </c>
      <c r="I89" s="13">
        <v>2.56793</v>
      </c>
      <c r="J89" s="13">
        <v>52.101260000000003</v>
      </c>
      <c r="K89" s="15">
        <v>0.88387000000000004</v>
      </c>
      <c r="L89" s="13">
        <v>2.2645900000000001</v>
      </c>
      <c r="M89" s="14">
        <v>3.52502</v>
      </c>
      <c r="N89" s="107">
        <f>(D90-D89)/D89</f>
        <v>0</v>
      </c>
      <c r="O89" s="108">
        <f t="shared" ref="O89:Q89" si="8">(K90-K89)/K89</f>
        <v>5.9171597633135608E-3</v>
      </c>
      <c r="P89" s="108">
        <f t="shared" si="8"/>
        <v>4.6189376443416651E-3</v>
      </c>
      <c r="Q89" s="109">
        <f t="shared" si="8"/>
        <v>0.19732937685459959</v>
      </c>
    </row>
    <row r="90" spans="1:17" x14ac:dyDescent="0.25">
      <c r="A90" s="110"/>
      <c r="B90" s="110"/>
      <c r="C90" s="5" t="s">
        <v>61</v>
      </c>
      <c r="D90" s="12">
        <v>0.52300000000000002</v>
      </c>
      <c r="E90" s="13">
        <v>2.12</v>
      </c>
      <c r="F90" s="13">
        <v>4.93</v>
      </c>
      <c r="G90" s="14">
        <v>100.94</v>
      </c>
      <c r="H90" s="13">
        <v>1.1087600000000002</v>
      </c>
      <c r="I90" s="13">
        <v>2.5783899999999997</v>
      </c>
      <c r="J90" s="13">
        <v>52.791620000000002</v>
      </c>
      <c r="K90" s="15">
        <v>0.8891</v>
      </c>
      <c r="L90" s="13">
        <v>2.2750499999999998</v>
      </c>
      <c r="M90" s="14">
        <v>4.2206100000000006</v>
      </c>
      <c r="N90" s="107"/>
      <c r="O90" s="108"/>
      <c r="P90" s="108"/>
      <c r="Q90" s="109"/>
    </row>
    <row r="91" spans="1:17" x14ac:dyDescent="0.25">
      <c r="A91" s="110" t="s">
        <v>39</v>
      </c>
      <c r="B91" s="110" t="s">
        <v>59</v>
      </c>
      <c r="C91" s="5" t="s">
        <v>60</v>
      </c>
      <c r="D91" s="12">
        <v>8.3759999999999994</v>
      </c>
      <c r="E91" s="13">
        <v>1.99</v>
      </c>
      <c r="F91" s="13">
        <v>22.53</v>
      </c>
      <c r="G91" s="14">
        <v>139.41999999999999</v>
      </c>
      <c r="H91" s="13">
        <v>16.668239999999997</v>
      </c>
      <c r="I91" s="13">
        <v>188.71127999999999</v>
      </c>
      <c r="J91" s="13">
        <v>1167.7819199999999</v>
      </c>
      <c r="K91" s="15">
        <v>13.150319999999999</v>
      </c>
      <c r="L91" s="13">
        <v>183.85319999999999</v>
      </c>
      <c r="M91" s="14">
        <v>417.29231999999996</v>
      </c>
      <c r="N91" s="107">
        <f>(D92-D91)/D91</f>
        <v>-0.93755969436485198</v>
      </c>
      <c r="O91" s="108">
        <f t="shared" ref="O91:Q91" si="9">(K92-K91)/K91</f>
        <v>-0.92841238844377938</v>
      </c>
      <c r="P91" s="108">
        <f t="shared" si="9"/>
        <v>-0.97875038345810672</v>
      </c>
      <c r="Q91" s="109">
        <f t="shared" si="9"/>
        <v>-0.98261647853955236</v>
      </c>
    </row>
    <row r="92" spans="1:17" x14ac:dyDescent="0.25">
      <c r="A92" s="110"/>
      <c r="B92" s="110"/>
      <c r="C92" s="5" t="s">
        <v>61</v>
      </c>
      <c r="D92" s="12">
        <v>0.52300000000000002</v>
      </c>
      <c r="E92" s="13">
        <v>2.2200000000000002</v>
      </c>
      <c r="F92" s="13">
        <v>8.0500000000000007</v>
      </c>
      <c r="G92" s="14">
        <v>103.47</v>
      </c>
      <c r="H92" s="13">
        <v>1.1610600000000002</v>
      </c>
      <c r="I92" s="13">
        <v>4.2101500000000005</v>
      </c>
      <c r="J92" s="13">
        <v>54.114809999999999</v>
      </c>
      <c r="K92" s="15">
        <v>0.94140000000000001</v>
      </c>
      <c r="L92" s="13">
        <v>3.9068100000000001</v>
      </c>
      <c r="M92" s="14">
        <v>7.2540100000000001</v>
      </c>
      <c r="N92" s="107"/>
      <c r="O92" s="108"/>
      <c r="P92" s="108"/>
      <c r="Q92" s="109"/>
    </row>
    <row r="93" spans="1:17" x14ac:dyDescent="0.25">
      <c r="A93" s="110"/>
      <c r="B93" s="110" t="s">
        <v>62</v>
      </c>
      <c r="C93" s="5" t="s">
        <v>60</v>
      </c>
      <c r="D93" s="12">
        <v>4.1870000000000003</v>
      </c>
      <c r="E93" s="13">
        <v>1.99</v>
      </c>
      <c r="F93" s="13">
        <v>19.66</v>
      </c>
      <c r="G93" s="14">
        <v>131.57</v>
      </c>
      <c r="H93" s="13">
        <v>8.3321300000000011</v>
      </c>
      <c r="I93" s="13">
        <v>82.316420000000008</v>
      </c>
      <c r="J93" s="13">
        <v>550.88359000000003</v>
      </c>
      <c r="K93" s="15">
        <v>6.5735900000000003</v>
      </c>
      <c r="L93" s="13">
        <v>79.887959999999993</v>
      </c>
      <c r="M93" s="14">
        <v>175.72839000000002</v>
      </c>
      <c r="N93" s="107">
        <f>(D94-D93)/D93</f>
        <v>-0.6235968473847624</v>
      </c>
      <c r="O93" s="108">
        <f t="shared" ref="O93:Q93" si="10">(K94-K93)/K93</f>
        <v>-0.61160948583650632</v>
      </c>
      <c r="P93" s="108">
        <f t="shared" si="10"/>
        <v>-0.76208479976206678</v>
      </c>
      <c r="Q93" s="109">
        <f t="shared" si="10"/>
        <v>-0.7678981751326579</v>
      </c>
    </row>
    <row r="94" spans="1:17" x14ac:dyDescent="0.25">
      <c r="A94" s="110"/>
      <c r="B94" s="110"/>
      <c r="C94" s="5" t="s">
        <v>61</v>
      </c>
      <c r="D94" s="12">
        <v>1.5760000000000001</v>
      </c>
      <c r="E94" s="13">
        <v>2.04</v>
      </c>
      <c r="F94" s="13">
        <v>12.64</v>
      </c>
      <c r="G94" s="14">
        <v>115.48</v>
      </c>
      <c r="H94" s="13">
        <v>3.2150400000000001</v>
      </c>
      <c r="I94" s="13">
        <v>19.920640000000002</v>
      </c>
      <c r="J94" s="13">
        <v>181.99648000000002</v>
      </c>
      <c r="K94" s="15">
        <v>2.5531200000000003</v>
      </c>
      <c r="L94" s="13">
        <v>19.00656</v>
      </c>
      <c r="M94" s="14">
        <v>40.786880000000004</v>
      </c>
      <c r="N94" s="107"/>
      <c r="O94" s="108"/>
      <c r="P94" s="108"/>
      <c r="Q94" s="109"/>
    </row>
  </sheetData>
  <mergeCells count="261">
    <mergeCell ref="K1:M1"/>
    <mergeCell ref="N1:Q1"/>
    <mergeCell ref="A3:A6"/>
    <mergeCell ref="B3:B4"/>
    <mergeCell ref="N3:N4"/>
    <mergeCell ref="O3:O4"/>
    <mergeCell ref="P3:P4"/>
    <mergeCell ref="Q3:Q4"/>
    <mergeCell ref="B5:B6"/>
    <mergeCell ref="N5:N6"/>
    <mergeCell ref="A1:A2"/>
    <mergeCell ref="B1:B2"/>
    <mergeCell ref="C1:C2"/>
    <mergeCell ref="D1:D2"/>
    <mergeCell ref="E1:G1"/>
    <mergeCell ref="O5:O6"/>
    <mergeCell ref="P5:P6"/>
    <mergeCell ref="Q5:Q6"/>
    <mergeCell ref="A11:A14"/>
    <mergeCell ref="B11:B12"/>
    <mergeCell ref="N11:N12"/>
    <mergeCell ref="O11:O12"/>
    <mergeCell ref="P11:P12"/>
    <mergeCell ref="A7:A10"/>
    <mergeCell ref="B7:B8"/>
    <mergeCell ref="N7:N8"/>
    <mergeCell ref="O7:O8"/>
    <mergeCell ref="P7:P8"/>
    <mergeCell ref="Q7:Q8"/>
    <mergeCell ref="Q11:Q12"/>
    <mergeCell ref="B13:B14"/>
    <mergeCell ref="N13:N14"/>
    <mergeCell ref="O13:O14"/>
    <mergeCell ref="P13:P14"/>
    <mergeCell ref="Q13:Q14"/>
    <mergeCell ref="B9:B10"/>
    <mergeCell ref="N9:N10"/>
    <mergeCell ref="O9:O10"/>
    <mergeCell ref="P9:P10"/>
    <mergeCell ref="Q9:Q10"/>
    <mergeCell ref="Q17:Q18"/>
    <mergeCell ref="A19:A22"/>
    <mergeCell ref="B19:B20"/>
    <mergeCell ref="N19:N20"/>
    <mergeCell ref="O19:O20"/>
    <mergeCell ref="P19:P20"/>
    <mergeCell ref="Q19:Q20"/>
    <mergeCell ref="B21:B22"/>
    <mergeCell ref="N21:N22"/>
    <mergeCell ref="O21:O22"/>
    <mergeCell ref="A15:A18"/>
    <mergeCell ref="B15:B16"/>
    <mergeCell ref="N15:N16"/>
    <mergeCell ref="O15:O16"/>
    <mergeCell ref="P15:P16"/>
    <mergeCell ref="Q15:Q16"/>
    <mergeCell ref="B17:B18"/>
    <mergeCell ref="N17:N18"/>
    <mergeCell ref="O17:O18"/>
    <mergeCell ref="P17:P18"/>
    <mergeCell ref="P21:P22"/>
    <mergeCell ref="Q21:Q22"/>
    <mergeCell ref="A23:A26"/>
    <mergeCell ref="B23:B24"/>
    <mergeCell ref="N23:N24"/>
    <mergeCell ref="O23:O24"/>
    <mergeCell ref="P23:P24"/>
    <mergeCell ref="Q23:Q24"/>
    <mergeCell ref="B25:B26"/>
    <mergeCell ref="N25:N26"/>
    <mergeCell ref="O25:O26"/>
    <mergeCell ref="P25:P26"/>
    <mergeCell ref="Q25:Q26"/>
    <mergeCell ref="A27:A30"/>
    <mergeCell ref="B27:B28"/>
    <mergeCell ref="N27:N28"/>
    <mergeCell ref="O27:O28"/>
    <mergeCell ref="P27:P28"/>
    <mergeCell ref="Q27:Q28"/>
    <mergeCell ref="B29:B30"/>
    <mergeCell ref="A35:A38"/>
    <mergeCell ref="B35:B36"/>
    <mergeCell ref="N35:N36"/>
    <mergeCell ref="O35:O36"/>
    <mergeCell ref="P35:P36"/>
    <mergeCell ref="N29:N30"/>
    <mergeCell ref="O29:O30"/>
    <mergeCell ref="P29:P30"/>
    <mergeCell ref="Q29:Q30"/>
    <mergeCell ref="A31:A34"/>
    <mergeCell ref="B31:B32"/>
    <mergeCell ref="N31:N32"/>
    <mergeCell ref="O31:O32"/>
    <mergeCell ref="P31:P32"/>
    <mergeCell ref="Q31:Q32"/>
    <mergeCell ref="Q35:Q36"/>
    <mergeCell ref="B37:B38"/>
    <mergeCell ref="N37:N38"/>
    <mergeCell ref="O37:O38"/>
    <mergeCell ref="P37:P38"/>
    <mergeCell ref="Q37:Q38"/>
    <mergeCell ref="B33:B34"/>
    <mergeCell ref="N33:N34"/>
    <mergeCell ref="O33:O34"/>
    <mergeCell ref="P33:P34"/>
    <mergeCell ref="Q33:Q34"/>
    <mergeCell ref="Q41:Q42"/>
    <mergeCell ref="A43:A46"/>
    <mergeCell ref="B43:B44"/>
    <mergeCell ref="N43:N44"/>
    <mergeCell ref="O43:O44"/>
    <mergeCell ref="P43:P44"/>
    <mergeCell ref="Q43:Q44"/>
    <mergeCell ref="B45:B46"/>
    <mergeCell ref="N45:N46"/>
    <mergeCell ref="O45:O46"/>
    <mergeCell ref="A39:A42"/>
    <mergeCell ref="B39:B40"/>
    <mergeCell ref="N39:N40"/>
    <mergeCell ref="O39:O40"/>
    <mergeCell ref="P39:P40"/>
    <mergeCell ref="Q39:Q40"/>
    <mergeCell ref="B41:B42"/>
    <mergeCell ref="N41:N42"/>
    <mergeCell ref="O41:O42"/>
    <mergeCell ref="P41:P42"/>
    <mergeCell ref="P45:P46"/>
    <mergeCell ref="Q45:Q46"/>
    <mergeCell ref="A47:A50"/>
    <mergeCell ref="B47:B48"/>
    <mergeCell ref="N47:N48"/>
    <mergeCell ref="O47:O48"/>
    <mergeCell ref="P47:P48"/>
    <mergeCell ref="Q47:Q48"/>
    <mergeCell ref="B49:B50"/>
    <mergeCell ref="N49:N50"/>
    <mergeCell ref="O49:O50"/>
    <mergeCell ref="P49:P50"/>
    <mergeCell ref="Q49:Q50"/>
    <mergeCell ref="A51:A54"/>
    <mergeCell ref="B51:B52"/>
    <mergeCell ref="N51:N52"/>
    <mergeCell ref="O51:O52"/>
    <mergeCell ref="P51:P52"/>
    <mergeCell ref="Q51:Q52"/>
    <mergeCell ref="B53:B54"/>
    <mergeCell ref="A59:A62"/>
    <mergeCell ref="B59:B60"/>
    <mergeCell ref="N59:N60"/>
    <mergeCell ref="O59:O60"/>
    <mergeCell ref="P59:P60"/>
    <mergeCell ref="N53:N54"/>
    <mergeCell ref="O53:O54"/>
    <mergeCell ref="P53:P54"/>
    <mergeCell ref="Q53:Q54"/>
    <mergeCell ref="A55:A58"/>
    <mergeCell ref="B55:B56"/>
    <mergeCell ref="N55:N56"/>
    <mergeCell ref="O55:O56"/>
    <mergeCell ref="P55:P56"/>
    <mergeCell ref="Q55:Q56"/>
    <mergeCell ref="Q59:Q60"/>
    <mergeCell ref="B61:B62"/>
    <mergeCell ref="N61:N62"/>
    <mergeCell ref="O61:O62"/>
    <mergeCell ref="P61:P62"/>
    <mergeCell ref="Q61:Q62"/>
    <mergeCell ref="B57:B58"/>
    <mergeCell ref="N57:N58"/>
    <mergeCell ref="O57:O58"/>
    <mergeCell ref="P57:P58"/>
    <mergeCell ref="Q57:Q58"/>
    <mergeCell ref="Q65:Q66"/>
    <mergeCell ref="A67:A70"/>
    <mergeCell ref="B67:B68"/>
    <mergeCell ref="N67:N68"/>
    <mergeCell ref="O67:O68"/>
    <mergeCell ref="P67:P68"/>
    <mergeCell ref="Q67:Q68"/>
    <mergeCell ref="B69:B70"/>
    <mergeCell ref="N69:N70"/>
    <mergeCell ref="O69:O70"/>
    <mergeCell ref="A63:A66"/>
    <mergeCell ref="B63:B64"/>
    <mergeCell ref="N63:N64"/>
    <mergeCell ref="O63:O64"/>
    <mergeCell ref="P63:P64"/>
    <mergeCell ref="Q63:Q64"/>
    <mergeCell ref="B65:B66"/>
    <mergeCell ref="N65:N66"/>
    <mergeCell ref="O65:O66"/>
    <mergeCell ref="P65:P66"/>
    <mergeCell ref="P69:P70"/>
    <mergeCell ref="Q69:Q70"/>
    <mergeCell ref="A71:A74"/>
    <mergeCell ref="B71:B72"/>
    <mergeCell ref="N71:N72"/>
    <mergeCell ref="O71:O72"/>
    <mergeCell ref="P71:P72"/>
    <mergeCell ref="Q71:Q72"/>
    <mergeCell ref="B73:B74"/>
    <mergeCell ref="N73:N74"/>
    <mergeCell ref="O73:O74"/>
    <mergeCell ref="P73:P74"/>
    <mergeCell ref="Q73:Q74"/>
    <mergeCell ref="A75:A78"/>
    <mergeCell ref="B75:B76"/>
    <mergeCell ref="N75:N76"/>
    <mergeCell ref="O75:O76"/>
    <mergeCell ref="P75:P76"/>
    <mergeCell ref="Q75:Q76"/>
    <mergeCell ref="B77:B78"/>
    <mergeCell ref="A83:A86"/>
    <mergeCell ref="B83:B84"/>
    <mergeCell ref="N83:N84"/>
    <mergeCell ref="O83:O84"/>
    <mergeCell ref="P83:P84"/>
    <mergeCell ref="N77:N78"/>
    <mergeCell ref="O77:O78"/>
    <mergeCell ref="P77:P78"/>
    <mergeCell ref="Q77:Q78"/>
    <mergeCell ref="A79:A82"/>
    <mergeCell ref="B79:B80"/>
    <mergeCell ref="N79:N80"/>
    <mergeCell ref="O79:O80"/>
    <mergeCell ref="P79:P80"/>
    <mergeCell ref="Q79:Q80"/>
    <mergeCell ref="Q83:Q84"/>
    <mergeCell ref="B85:B86"/>
    <mergeCell ref="N85:N86"/>
    <mergeCell ref="O85:O86"/>
    <mergeCell ref="P85:P86"/>
    <mergeCell ref="Q85:Q86"/>
    <mergeCell ref="B81:B82"/>
    <mergeCell ref="N81:N82"/>
    <mergeCell ref="O81:O82"/>
    <mergeCell ref="P81:P82"/>
    <mergeCell ref="Q81:Q82"/>
    <mergeCell ref="Q89:Q90"/>
    <mergeCell ref="A91:A94"/>
    <mergeCell ref="B91:B92"/>
    <mergeCell ref="N91:N92"/>
    <mergeCell ref="O91:O92"/>
    <mergeCell ref="P91:P92"/>
    <mergeCell ref="Q91:Q92"/>
    <mergeCell ref="B93:B94"/>
    <mergeCell ref="N93:N94"/>
    <mergeCell ref="O93:O94"/>
    <mergeCell ref="A87:A90"/>
    <mergeCell ref="B87:B88"/>
    <mergeCell ref="N87:N88"/>
    <mergeCell ref="O87:O88"/>
    <mergeCell ref="P87:P88"/>
    <mergeCell ref="Q87:Q88"/>
    <mergeCell ref="B89:B90"/>
    <mergeCell ref="N89:N90"/>
    <mergeCell ref="O89:O90"/>
    <mergeCell ref="P89:P90"/>
    <mergeCell ref="H1:J1"/>
    <mergeCell ref="P93:P94"/>
    <mergeCell ref="Q93:Q94"/>
  </mergeCells>
  <conditionalFormatting sqref="N3:Q94">
    <cfRule type="colorScale" priority="1">
      <colorScale>
        <cfvo type="num" val="-1"/>
        <cfvo type="num" val="0"/>
        <cfvo type="num" val="1"/>
        <color rgb="FF92D050"/>
        <color rgb="FFFFC000"/>
        <color rgb="FFFF0000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23A3-D084-420E-97D2-530D13992DE2}">
  <dimension ref="A1:S36"/>
  <sheetViews>
    <sheetView zoomScale="85" zoomScaleNormal="85" workbookViewId="0">
      <selection activeCell="J28" sqref="J28"/>
    </sheetView>
  </sheetViews>
  <sheetFormatPr baseColWidth="10" defaultColWidth="9.140625" defaultRowHeight="15" x14ac:dyDescent="0.25"/>
  <cols>
    <col min="1" max="1" width="10.28515625" bestFit="1" customWidth="1"/>
    <col min="2" max="3" width="23.28515625" bestFit="1" customWidth="1"/>
    <col min="4" max="5" width="15.7109375" customWidth="1"/>
    <col min="6" max="7" width="23.28515625" bestFit="1" customWidth="1"/>
    <col min="8" max="9" width="15.7109375" customWidth="1"/>
    <col min="10" max="10" width="18.42578125" bestFit="1" customWidth="1"/>
    <col min="11" max="12" width="18.42578125" customWidth="1"/>
    <col min="14" max="14" width="13.28515625" bestFit="1" customWidth="1"/>
    <col min="15" max="15" width="63.85546875" customWidth="1"/>
    <col min="18" max="18" width="15.85546875" bestFit="1" customWidth="1"/>
    <col min="19" max="19" width="70" bestFit="1" customWidth="1"/>
  </cols>
  <sheetData>
    <row r="1" spans="1:19" x14ac:dyDescent="0.25">
      <c r="A1" s="37"/>
      <c r="B1" s="118" t="s">
        <v>92</v>
      </c>
      <c r="C1" s="119"/>
      <c r="D1" s="119"/>
      <c r="E1" s="120"/>
      <c r="F1" s="118" t="s">
        <v>93</v>
      </c>
      <c r="G1" s="119"/>
      <c r="H1" s="119"/>
      <c r="I1" s="120"/>
    </row>
    <row r="2" spans="1:19" ht="18.75" customHeight="1" x14ac:dyDescent="0.25">
      <c r="A2" s="38" t="s">
        <v>45</v>
      </c>
      <c r="B2" s="16" t="s">
        <v>97</v>
      </c>
      <c r="C2" s="16" t="s">
        <v>98</v>
      </c>
      <c r="D2" s="16" t="s">
        <v>94</v>
      </c>
      <c r="E2" s="36" t="s">
        <v>185</v>
      </c>
      <c r="F2" s="16" t="s">
        <v>97</v>
      </c>
      <c r="G2" s="16" t="s">
        <v>98</v>
      </c>
      <c r="H2" s="16" t="s">
        <v>94</v>
      </c>
      <c r="I2" s="36" t="s">
        <v>185</v>
      </c>
      <c r="J2" s="35" t="s">
        <v>177</v>
      </c>
    </row>
    <row r="3" spans="1:19" x14ac:dyDescent="0.25">
      <c r="A3" s="32" t="s">
        <v>101</v>
      </c>
      <c r="B3" s="48" cm="1">
        <f t="array" aca="1" ref="B3" ca="1">INDIRECT("'C Impact of Optimization'!M" &amp; 3 + (ROW(A1)-1)*4)</f>
        <v>221.55833000000001</v>
      </c>
      <c r="C3" s="41" cm="1">
        <f t="array" aca="1" ref="C3" ca="1">INDIRECT("'C Impact of Optimization'!M" &amp; 4 + (ROW(A1)-1)*4)</f>
        <v>118.6606</v>
      </c>
      <c r="D3" s="41" cm="1">
        <f t="array" aca="1" ref="D3" ca="1">INDIRECT("'C Impact of Optimization'!Q" &amp; 3 + (ROW(A1)-1)*4)*100</f>
        <v>-46.442726843084621</v>
      </c>
      <c r="E3" s="25" t="s">
        <v>182</v>
      </c>
      <c r="F3" s="41" cm="1">
        <f t="array" aca="1" ref="F3" ca="1">INDIRECT("'C Impact of Optimization'!M" &amp; 5 + (ROW(A1)-1)*4)</f>
        <v>142.38303999999999</v>
      </c>
      <c r="G3" s="41" cm="1">
        <f t="array" aca="1" ref="G3" ca="1">INDIRECT("'C Impact of Optimization'!M" &amp; 6 + (ROW(A1)-1)*4)</f>
        <v>21.31568</v>
      </c>
      <c r="H3" s="42" cm="1">
        <f t="array" aca="1" ref="H3" ca="1">INDIRECT("'C Impact of Optimization'!Q" &amp; 5 + (ROW(D1)-1)*4)*100</f>
        <v>-85.029340573146911</v>
      </c>
      <c r="I3" s="25" t="s">
        <v>182</v>
      </c>
      <c r="J3" s="39">
        <f ca="1">AVERAGE(D3,H3)</f>
        <v>-65.73603370811577</v>
      </c>
      <c r="K3" s="41"/>
      <c r="L3" s="41"/>
      <c r="N3" s="118" t="s">
        <v>92</v>
      </c>
      <c r="O3" s="120"/>
      <c r="P3" s="50"/>
      <c r="Q3" s="50"/>
      <c r="R3" s="118" t="s">
        <v>93</v>
      </c>
      <c r="S3" s="120"/>
    </row>
    <row r="4" spans="1:19" x14ac:dyDescent="0.25">
      <c r="A4" s="32" t="s">
        <v>103</v>
      </c>
      <c r="B4" s="48" cm="1">
        <f t="array" aca="1" ref="B4" ca="1">INDIRECT("'C Impact of Optimization'!M" &amp; 3 + (ROW(A2)-1)*4)</f>
        <v>63.531959999999998</v>
      </c>
      <c r="C4" s="41" cm="1">
        <f t="array" aca="1" ref="C4" ca="1">INDIRECT("'C Impact of Optimization'!M" &amp; 4 + (ROW(A2)-1)*4)</f>
        <v>63.103949999999998</v>
      </c>
      <c r="D4" s="41" cm="1">
        <f t="array" aca="1" ref="D4" ca="1">INDIRECT("'C Impact of Optimization'!Q" &amp; 3 + (ROW(A2)-1)*4)*100</f>
        <v>-0.67369242189285594</v>
      </c>
      <c r="E4" s="22" t="s">
        <v>182</v>
      </c>
      <c r="F4" s="41" cm="1">
        <f t="array" aca="1" ref="F4" ca="1">INDIRECT("'C Impact of Optimization'!M" &amp; 5 + (ROW(A2)-1)*4)</f>
        <v>27.300600000000003</v>
      </c>
      <c r="G4" s="41" cm="1">
        <f t="array" aca="1" ref="G4" ca="1">INDIRECT("'C Impact of Optimization'!M" &amp; 6 + (ROW(A2)-1)*4)</f>
        <v>28.415579999999999</v>
      </c>
      <c r="H4" s="42" cm="1">
        <f t="array" aca="1" ref="H4" ca="1">INDIRECT("'C Impact of Optimization'!Q" &amp; 5 + (ROW(D2)-1)*4)*100</f>
        <v>4.0840860640425323</v>
      </c>
      <c r="I4" s="22" t="s">
        <v>182</v>
      </c>
      <c r="J4" s="40">
        <f t="shared" ref="J4:J25" ca="1" si="0">AVERAGE(D4,H4)</f>
        <v>1.7051968210748383</v>
      </c>
      <c r="K4" s="41"/>
      <c r="L4" s="41"/>
      <c r="N4" s="16" t="s">
        <v>100</v>
      </c>
      <c r="O4" s="16" t="s">
        <v>99</v>
      </c>
      <c r="P4" s="50"/>
      <c r="Q4" s="50"/>
      <c r="R4" s="63" t="s">
        <v>100</v>
      </c>
      <c r="S4" s="16" t="s">
        <v>99</v>
      </c>
    </row>
    <row r="5" spans="1:19" x14ac:dyDescent="0.25">
      <c r="A5" s="32" t="s">
        <v>105</v>
      </c>
      <c r="B5" s="48" cm="1">
        <f t="array" aca="1" ref="B5" ca="1">INDIRECT("'C Impact of Optimization'!M" &amp; 3 + (ROW(A3)-1)*4)</f>
        <v>243.32315</v>
      </c>
      <c r="C5" s="41" cm="1">
        <f t="array" aca="1" ref="C5" ca="1">INDIRECT("'C Impact of Optimization'!M" &amp; 4 + (ROW(A3)-1)*4)</f>
        <v>1126.5793200000001</v>
      </c>
      <c r="D5" s="41" cm="1">
        <f t="array" aca="1" ref="D5" ca="1">INDIRECT("'C Impact of Optimization'!Q" &amp; 3 + (ROW(A3)-1)*4)*100</f>
        <v>362.99717885453975</v>
      </c>
      <c r="E5" s="22" t="s">
        <v>186</v>
      </c>
      <c r="F5" s="41" cm="1">
        <f t="array" aca="1" ref="F5" ca="1">INDIRECT("'C Impact of Optimization'!M" &amp; 5 + (ROW(A3)-1)*4)</f>
        <v>288.47541000000001</v>
      </c>
      <c r="G5" s="41" cm="1">
        <f t="array" aca="1" ref="G5" ca="1">INDIRECT("'C Impact of Optimization'!M" &amp; 6 + (ROW(A3)-1)*4)</f>
        <v>226.67190000000002</v>
      </c>
      <c r="H5" s="42" cm="1">
        <f t="array" aca="1" ref="H5" ca="1">INDIRECT("'C Impact of Optimization'!Q" &amp; 5 + (ROW(D3)-1)*4)*100</f>
        <v>-21.424186553717</v>
      </c>
      <c r="I5" s="22" t="s">
        <v>183</v>
      </c>
      <c r="J5" s="40">
        <f t="shared" ca="1" si="0"/>
        <v>170.78649615041138</v>
      </c>
      <c r="K5" s="41"/>
      <c r="L5" s="41"/>
      <c r="N5" s="71" t="s">
        <v>106</v>
      </c>
      <c r="O5" s="29" t="str" cm="1">
        <f t="array" aca="1" ref="O5" ca="1">_xlfn.TEXTJOIN(", ", TRUE, IF(D3:D25 &lt;= -75, A3:A25, ""))</f>
        <v>T19, T20, T25, T28, T36, T49</v>
      </c>
      <c r="R5" s="78" t="s">
        <v>106</v>
      </c>
      <c r="S5" s="29" t="str" cm="1">
        <f t="array" aca="1" ref="S5" ca="1">_xlfn.TEXTJOIN(", ", TRUE, IF(H3:H25 &lt;= -75, A3:A25, ""))</f>
        <v>T4, T19, T25, T26, T28, T36, T40, T49</v>
      </c>
    </row>
    <row r="6" spans="1:19" x14ac:dyDescent="0.25">
      <c r="A6" s="32" t="s">
        <v>104</v>
      </c>
      <c r="B6" s="48" cm="1">
        <f t="array" aca="1" ref="B6" ca="1">INDIRECT("'C Impact of Optimization'!M" &amp; 3 + (ROW(A4)-1)*4)</f>
        <v>7.3360000000000003</v>
      </c>
      <c r="C6" s="41" cm="1">
        <f t="array" aca="1" ref="C6" ca="1">INDIRECT("'C Impact of Optimization'!M" &amp; 4 + (ROW(A4)-1)*4)</f>
        <v>6.3037200000000002</v>
      </c>
      <c r="D6" s="41" cm="1">
        <f t="array" aca="1" ref="D6" ca="1">INDIRECT("'C Impact of Optimization'!Q" &amp; 3 + (ROW(A4)-1)*4)*100</f>
        <v>-14.071428571428571</v>
      </c>
      <c r="E6" s="22" t="s">
        <v>182</v>
      </c>
      <c r="F6" s="41" cm="1">
        <f t="array" aca="1" ref="F6" ca="1">INDIRECT("'C Impact of Optimization'!M" &amp; 5 + (ROW(A4)-1)*4)</f>
        <v>6.4976000000000003</v>
      </c>
      <c r="G6" s="41" cm="1">
        <f t="array" aca="1" ref="G6" ca="1">INDIRECT("'C Impact of Optimization'!M" &amp; 6 + (ROW(A4)-1)*4)</f>
        <v>6.1086400000000003</v>
      </c>
      <c r="H6" s="42" cm="1">
        <f t="array" aca="1" ref="H6" ca="1">INDIRECT("'C Impact of Optimization'!Q" &amp; 5 + (ROW(D4)-1)*4)*100</f>
        <v>-5.9862102930312719</v>
      </c>
      <c r="I6" s="22" t="s">
        <v>182</v>
      </c>
      <c r="J6" s="40">
        <f t="shared" ca="1" si="0"/>
        <v>-10.028819432229922</v>
      </c>
      <c r="K6" s="41"/>
      <c r="L6" s="41"/>
      <c r="N6" s="72" t="s">
        <v>107</v>
      </c>
      <c r="O6" s="29" t="str" cm="1">
        <f t="array" aca="1" ref="O6" ca="1">_xlfn.TEXTJOIN(", ", TRUE, IF((D3:D25 &gt; -75) * (D3:D25 &lt;= -25), A3:A25, ""))</f>
        <v>T4, T11, T12, T13, T16, T17, T26, T29, T32, T40</v>
      </c>
      <c r="R6" s="72" t="s">
        <v>107</v>
      </c>
      <c r="S6" s="29" t="str" cm="1">
        <f t="array" aca="1" ref="S6" ca="1">_xlfn.TEXTJOIN(", ", TRUE, IF((H3:H25 &gt; -75) * (H3:H25 &lt;= -25), A3:A25, ""))</f>
        <v>T10, T11, T12, T13, T16, T17, T20, T29, T32</v>
      </c>
    </row>
    <row r="7" spans="1:19" x14ac:dyDescent="0.25">
      <c r="A7" s="32" t="s">
        <v>1</v>
      </c>
      <c r="B7" s="48" cm="1">
        <f t="array" aca="1" ref="B7" ca="1">INDIRECT("'C Impact of Optimization'!M" &amp; 3 + (ROW(A5)-1)*4)</f>
        <v>4730.46983</v>
      </c>
      <c r="C7" s="41" cm="1">
        <f t="array" aca="1" ref="C7" ca="1">INDIRECT("'C Impact of Optimization'!M" &amp; 4 + (ROW(A5)-1)*4)</f>
        <v>4750.5160300000007</v>
      </c>
      <c r="D7" s="41" cm="1">
        <f t="array" aca="1" ref="D7" ca="1">INDIRECT("'C Impact of Optimization'!Q" &amp; 3 + (ROW(A5)-1)*4)*100</f>
        <v>0.4237676324002827</v>
      </c>
      <c r="E7" s="22" t="s">
        <v>183</v>
      </c>
      <c r="F7" s="41" cm="1">
        <f t="array" aca="1" ref="F7" ca="1">INDIRECT("'C Impact of Optimization'!M" &amp; 5 + (ROW(A5)-1)*4)</f>
        <v>14.45125</v>
      </c>
      <c r="G7" s="41" cm="1">
        <f t="array" aca="1" ref="G7" ca="1">INDIRECT("'C Impact of Optimization'!M" &amp; 6 + (ROW(A5)-1)*4)</f>
        <v>6.1542000000000003</v>
      </c>
      <c r="H7" s="42" cm="1">
        <f t="array" aca="1" ref="H7" ca="1">INDIRECT("'C Impact of Optimization'!Q" &amp; 5 + (ROW(D5)-1)*4)*100</f>
        <v>-57.414064527290023</v>
      </c>
      <c r="I7" s="22" t="s">
        <v>186</v>
      </c>
      <c r="J7" s="40">
        <f t="shared" ca="1" si="0"/>
        <v>-28.495148447444869</v>
      </c>
      <c r="K7" s="41"/>
      <c r="L7" s="41"/>
      <c r="N7" s="73" t="s">
        <v>112</v>
      </c>
      <c r="O7" s="29" t="str" cm="1">
        <f t="array" aca="1" ref="O7" ca="1">_xlfn.TEXTJOIN(", ", TRUE, IF((D3:D25 &gt; -25) * (D3:D25 &lt;= -3), A3:A25, ""))</f>
        <v>T9, T31, T33, T44</v>
      </c>
      <c r="R7" s="73" t="s">
        <v>112</v>
      </c>
      <c r="S7" s="29" t="str" cm="1">
        <f t="array" aca="1" ref="S7" ca="1">_xlfn.TEXTJOIN(", ", TRUE, IF((H3:H25 &gt; -25) * (H3:H25 &lt;= -3), A3:A25, ""))</f>
        <v>T8, T9, T31, T33</v>
      </c>
    </row>
    <row r="8" spans="1:19" x14ac:dyDescent="0.25">
      <c r="A8" s="32" t="s">
        <v>2</v>
      </c>
      <c r="B8" s="48" cm="1">
        <f t="array" aca="1" ref="B8" ca="1">INDIRECT("'C Impact of Optimization'!M" &amp; 3 + (ROW(A6)-1)*4)</f>
        <v>70.463099999999997</v>
      </c>
      <c r="C8" s="41" cm="1">
        <f t="array" aca="1" ref="C8" ca="1">INDIRECT("'C Impact of Optimization'!M" &amp; 4 + (ROW(A6)-1)*4)</f>
        <v>24.709199999999999</v>
      </c>
      <c r="D8" s="41" cm="1">
        <f t="array" aca="1" ref="D8" ca="1">INDIRECT("'C Impact of Optimization'!Q" &amp; 3 + (ROW(A6)-1)*4)*100</f>
        <v>-64.933135215453191</v>
      </c>
      <c r="E8" s="22" t="s">
        <v>186</v>
      </c>
      <c r="F8" s="41" cm="1">
        <f t="array" aca="1" ref="F8" ca="1">INDIRECT("'C Impact of Optimization'!M" &amp; 5 + (ROW(A6)-1)*4)</f>
        <v>67.038790000000006</v>
      </c>
      <c r="G8" s="41" cm="1">
        <f t="array" aca="1" ref="G8" ca="1">INDIRECT("'C Impact of Optimization'!M" &amp; 6 + (ROW(A6)-1)*4)</f>
        <v>17.92464</v>
      </c>
      <c r="H8" s="42" cm="1">
        <f t="array" aca="1" ref="H8" ca="1">INDIRECT("'C Impact of Optimization'!Q" &amp; 5 + (ROW(D6)-1)*4)*100</f>
        <v>-73.262285909396638</v>
      </c>
      <c r="I8" s="22" t="s">
        <v>182</v>
      </c>
      <c r="J8" s="40">
        <f t="shared" ca="1" si="0"/>
        <v>-69.097710562424908</v>
      </c>
      <c r="K8" s="41"/>
      <c r="L8" s="41"/>
      <c r="N8" s="74" t="s">
        <v>108</v>
      </c>
      <c r="O8" s="29" t="str" cm="1">
        <f t="array" aca="1" ref="O8" ca="1">_xlfn.TEXTJOIN(", ", TRUE, IF((D3:D25 &gt; -3) * (D3:D25 &lt; 3), A3:A25, ""))</f>
        <v>T7, T10</v>
      </c>
      <c r="R8" s="74" t="s">
        <v>108</v>
      </c>
      <c r="S8" s="29" t="str" cm="1">
        <f t="array" aca="1" ref="S8" ca="1">_xlfn.TEXTJOIN(", ", TRUE, IF((H3:H25 &gt; -3) * (H3:H25 &lt; 3), A3:A25, ""))</f>
        <v/>
      </c>
    </row>
    <row r="9" spans="1:19" x14ac:dyDescent="0.25">
      <c r="A9" s="32" t="s">
        <v>3</v>
      </c>
      <c r="B9" s="48" cm="1">
        <f t="array" aca="1" ref="B9" ca="1">INDIRECT("'C Impact of Optimization'!M" &amp; 3 + (ROW(A7)-1)*4)</f>
        <v>23.526089999999996</v>
      </c>
      <c r="C9" s="41" cm="1">
        <f t="array" aca="1" ref="C9" ca="1">INDIRECT("'C Impact of Optimization'!M" &amp; 4 + (ROW(A7)-1)*4)</f>
        <v>7.9417799999999987</v>
      </c>
      <c r="D9" s="41" cm="1">
        <f t="array" aca="1" ref="D9" ca="1">INDIRECT("'C Impact of Optimization'!Q" &amp; 3 + (ROW(A7)-1)*4)*100</f>
        <v>-66.24266930883968</v>
      </c>
      <c r="E9" s="22" t="s">
        <v>182</v>
      </c>
      <c r="F9" s="41" cm="1">
        <f t="array" aca="1" ref="F9" ca="1">INDIRECT("'C Impact of Optimization'!M" &amp; 5 + (ROW(A7)-1)*4)</f>
        <v>18.69942</v>
      </c>
      <c r="G9" s="41" cm="1">
        <f t="array" aca="1" ref="G9" ca="1">INDIRECT("'C Impact of Optimization'!M" &amp; 6 + (ROW(A7)-1)*4)</f>
        <v>8.5417799999999993</v>
      </c>
      <c r="H9" s="42" cm="1">
        <f t="array" aca="1" ref="H9" ca="1">INDIRECT("'C Impact of Optimization'!Q" &amp; 5 + (ROW(D7)-1)*4)*100</f>
        <v>-54.320615291811194</v>
      </c>
      <c r="I9" s="22" t="s">
        <v>182</v>
      </c>
      <c r="J9" s="40">
        <f t="shared" ca="1" si="0"/>
        <v>-60.281642300325437</v>
      </c>
      <c r="K9" s="41"/>
      <c r="L9" s="41"/>
      <c r="N9" s="75" t="s">
        <v>109</v>
      </c>
      <c r="O9" s="29" t="str" cm="1">
        <f t="array" aca="1" ref="O9" ca="1">_xlfn.TEXTJOIN(", ", TRUE, IF((D3:D25 &gt;= 3) * (D3:D25 &lt; 25), A3:A25, ""))</f>
        <v/>
      </c>
      <c r="R9" s="75" t="s">
        <v>109</v>
      </c>
      <c r="S9" s="29" t="str" cm="1">
        <f t="array" aca="1" ref="S9" ca="1">_xlfn.TEXTJOIN(", ", TRUE, IF((H3:H25 &gt;= 3) * (H3:H25 &lt; 25), A3:A25, ""))</f>
        <v>T7, T44</v>
      </c>
    </row>
    <row r="10" spans="1:19" x14ac:dyDescent="0.25">
      <c r="A10" s="32" t="s">
        <v>4</v>
      </c>
      <c r="B10" s="48" cm="1">
        <f t="array" aca="1" ref="B10" ca="1">INDIRECT("'C Impact of Optimization'!M" &amp; 3 + (ROW(A8)-1)*4)</f>
        <v>418.63247999999993</v>
      </c>
      <c r="C10" s="41" cm="1">
        <f t="array" aca="1" ref="C10" ca="1">INDIRECT("'C Impact of Optimization'!M" &amp; 4 + (ROW(A8)-1)*4)</f>
        <v>294.70452</v>
      </c>
      <c r="D10" s="41" cm="1">
        <f t="array" aca="1" ref="D10" ca="1">INDIRECT("'C Impact of Optimization'!Q" &amp; 3 + (ROW(A8)-1)*4)*100</f>
        <v>-29.603044656257904</v>
      </c>
      <c r="E10" s="22" t="s">
        <v>182</v>
      </c>
      <c r="F10" s="41" cm="1">
        <f t="array" aca="1" ref="F10" ca="1">INDIRECT("'C Impact of Optimization'!M" &amp; 5 + (ROW(A8)-1)*4)</f>
        <v>416.46790000000004</v>
      </c>
      <c r="G10" s="41" cm="1">
        <f t="array" aca="1" ref="G10" ca="1">INDIRECT("'C Impact of Optimization'!M" &amp; 6 + (ROW(A8)-1)*4)</f>
        <v>261.93711000000002</v>
      </c>
      <c r="H10" s="42" cm="1">
        <f t="array" aca="1" ref="H10" ca="1">INDIRECT("'C Impact of Optimization'!Q" &amp; 5 + (ROW(D8)-1)*4)*100</f>
        <v>-37.105090212234849</v>
      </c>
      <c r="I10" s="22" t="s">
        <v>182</v>
      </c>
      <c r="J10" s="40">
        <f t="shared" ca="1" si="0"/>
        <v>-33.354067434246375</v>
      </c>
      <c r="K10" s="41"/>
      <c r="L10" s="41"/>
      <c r="N10" s="76" t="s">
        <v>110</v>
      </c>
      <c r="O10" s="29" t="str" cm="1">
        <f t="array" aca="1" ref="O10" ca="1">_xlfn.TEXTJOIN(", ", TRUE, IF((D3:D25 &gt;= 25) * (D3:D25 &lt; 75), A3:A25, ""))</f>
        <v/>
      </c>
      <c r="R10" s="76" t="s">
        <v>110</v>
      </c>
      <c r="S10" s="29" t="str" cm="1">
        <f t="array" aca="1" ref="S10" ca="1">_xlfn.TEXTJOIN(", ", TRUE, IF((H3:H25 &gt;= 25) * (H3:H25 &lt; 75), A3:A25, ""))</f>
        <v/>
      </c>
    </row>
    <row r="11" spans="1:19" x14ac:dyDescent="0.25">
      <c r="A11" s="32" t="s">
        <v>7</v>
      </c>
      <c r="B11" s="48" cm="1">
        <f t="array" aca="1" ref="B11" ca="1">INDIRECT("'C Impact of Optimization'!M" &amp; 3 + (ROW(A9)-1)*4)</f>
        <v>20.510729999999999</v>
      </c>
      <c r="C11" s="41" cm="1">
        <f t="array" aca="1" ref="C11" ca="1">INDIRECT("'C Impact of Optimization'!M" &amp; 4 + (ROW(A9)-1)*4)</f>
        <v>8.7533000000000012</v>
      </c>
      <c r="D11" s="41" cm="1">
        <f t="array" aca="1" ref="D11" ca="1">INDIRECT("'C Impact of Optimization'!Q" &amp; 3 + (ROW(A9)-1)*4)*100</f>
        <v>-57.323313212157721</v>
      </c>
      <c r="E11" s="22" t="s">
        <v>182</v>
      </c>
      <c r="F11" s="41" cm="1">
        <f t="array" aca="1" ref="F11" ca="1">INDIRECT("'C Impact of Optimization'!M" &amp; 5 + (ROW(A9)-1)*4)</f>
        <v>18.563309999999998</v>
      </c>
      <c r="G11" s="41" cm="1">
        <f t="array" aca="1" ref="G11" ca="1">INDIRECT("'C Impact of Optimization'!M" &amp; 6 + (ROW(A9)-1)*4)</f>
        <v>8.9969100000000015</v>
      </c>
      <c r="H11" s="42" cm="1">
        <f t="array" aca="1" ref="H11" ca="1">INDIRECT("'C Impact of Optimization'!Q" &amp; 5 + (ROW(D9)-1)*4)*100</f>
        <v>-51.533912863600285</v>
      </c>
      <c r="I11" s="22" t="s">
        <v>182</v>
      </c>
      <c r="J11" s="40">
        <f t="shared" ca="1" si="0"/>
        <v>-54.428613037879003</v>
      </c>
      <c r="K11" s="41"/>
      <c r="L11" s="41"/>
      <c r="N11" s="77" t="s">
        <v>111</v>
      </c>
      <c r="O11" s="33" t="str" cm="1">
        <f t="array" aca="1" ref="O11" ca="1">_xlfn.TEXTJOIN(", ", TRUE, IF(D3:D25 &gt;= 75, A3:A25, ""))</f>
        <v>T8</v>
      </c>
      <c r="R11" s="77" t="s">
        <v>111</v>
      </c>
      <c r="S11" s="33" t="str" cm="1">
        <f t="array" aca="1" ref="S11" ca="1">_xlfn.TEXTJOIN(", ", TRUE, IF(H3:H25 &gt;= 75, A3:A25, ""))</f>
        <v/>
      </c>
    </row>
    <row r="12" spans="1:19" x14ac:dyDescent="0.25">
      <c r="A12" s="32" t="s">
        <v>8</v>
      </c>
      <c r="B12" s="48" cm="1">
        <f t="array" aca="1" ref="B12" ca="1">INDIRECT("'C Impact of Optimization'!M" &amp; 3 + (ROW(A10)-1)*4)</f>
        <v>18.545580000000001</v>
      </c>
      <c r="C12" s="41" cm="1">
        <f t="array" aca="1" ref="C12" ca="1">INDIRECT("'C Impact of Optimization'!M" &amp; 4 + (ROW(A10)-1)*4)</f>
        <v>10.665439999999998</v>
      </c>
      <c r="D12" s="41" cm="1">
        <f t="array" aca="1" ref="D12" ca="1">INDIRECT("'C Impact of Optimization'!Q" &amp; 3 + (ROW(A10)-1)*4)*100</f>
        <v>-42.490663543550546</v>
      </c>
      <c r="E12" s="22" t="s">
        <v>182</v>
      </c>
      <c r="F12" s="41" cm="1">
        <f t="array" aca="1" ref="F12" ca="1">INDIRECT("'C Impact of Optimization'!M" &amp; 5 + (ROW(A10)-1)*4)</f>
        <v>19.578899999999997</v>
      </c>
      <c r="G12" s="41" cm="1">
        <f t="array" aca="1" ref="G12" ca="1">INDIRECT("'C Impact of Optimization'!M" &amp; 6 + (ROW(A10)-1)*4)</f>
        <v>9.1800000000000015</v>
      </c>
      <c r="H12" s="42" cm="1">
        <f t="array" aca="1" ref="H12" ca="1">INDIRECT("'C Impact of Optimization'!Q" &amp; 5 + (ROW(D10)-1)*4)*100</f>
        <v>-53.112789789007543</v>
      </c>
      <c r="I12" s="22" t="s">
        <v>182</v>
      </c>
      <c r="J12" s="40">
        <f t="shared" ca="1" si="0"/>
        <v>-47.801726666279045</v>
      </c>
      <c r="K12" s="41"/>
      <c r="L12" s="41"/>
    </row>
    <row r="13" spans="1:19" x14ac:dyDescent="0.25">
      <c r="A13" s="32" t="s">
        <v>10</v>
      </c>
      <c r="B13" s="48" cm="1">
        <f t="array" aca="1" ref="B13" ca="1">INDIRECT("'C Impact of Optimization'!M" &amp; 3 + (ROW(A11)-1)*4)</f>
        <v>673.59663</v>
      </c>
      <c r="C13" s="41" cm="1">
        <f t="array" aca="1" ref="C13" ca="1">INDIRECT("'C Impact of Optimization'!M" &amp; 4 + (ROW(A11)-1)*4)</f>
        <v>46.142300000000006</v>
      </c>
      <c r="D13" s="41" cm="1">
        <f t="array" aca="1" ref="D13" ca="1">INDIRECT("'C Impact of Optimization'!Q" &amp; 3 + (ROW(A11)-1)*4)*100</f>
        <v>-93.149861809730254</v>
      </c>
      <c r="E13" s="22" t="s">
        <v>182</v>
      </c>
      <c r="F13" s="41" cm="1">
        <f t="array" aca="1" ref="F13" ca="1">INDIRECT("'C Impact of Optimization'!M" &amp; 5 + (ROW(A11)-1)*4)</f>
        <v>887.26553000000001</v>
      </c>
      <c r="G13" s="41" cm="1">
        <f t="array" aca="1" ref="G13" ca="1">INDIRECT("'C Impact of Optimization'!M" &amp; 6 + (ROW(A11)-1)*4)</f>
        <v>50.243220000000001</v>
      </c>
      <c r="H13" s="42" cm="1">
        <f t="array" aca="1" ref="H13" ca="1">INDIRECT("'C Impact of Optimization'!Q" &amp; 5 + (ROW(D11)-1)*4)*100</f>
        <v>-94.33729607415269</v>
      </c>
      <c r="I13" s="22" t="s">
        <v>182</v>
      </c>
      <c r="J13" s="40">
        <f t="shared" ca="1" si="0"/>
        <v>-93.743578941941479</v>
      </c>
      <c r="K13" s="41"/>
      <c r="L13" s="41"/>
    </row>
    <row r="14" spans="1:19" x14ac:dyDescent="0.25">
      <c r="A14" s="32" t="s">
        <v>11</v>
      </c>
      <c r="B14" s="48" cm="1">
        <f t="array" aca="1" ref="B14" ca="1">INDIRECT("'C Impact of Optimization'!M" &amp; 3 + (ROW(A12)-1)*4)</f>
        <v>436.98077999999998</v>
      </c>
      <c r="C14" s="41" cm="1">
        <f t="array" aca="1" ref="C14" ca="1">INDIRECT("'C Impact of Optimization'!M" &amp; 4 + (ROW(A12)-1)*4)</f>
        <v>26.866019999999999</v>
      </c>
      <c r="D14" s="41" cm="1">
        <f t="array" aca="1" ref="D14" ca="1">INDIRECT("'C Impact of Optimization'!Q" &amp; 3 + (ROW(A12)-1)*4)*100</f>
        <v>-93.851898932488524</v>
      </c>
      <c r="E14" s="22" t="s">
        <v>182</v>
      </c>
      <c r="F14" s="41" cm="1">
        <f t="array" aca="1" ref="F14" ca="1">INDIRECT("'C Impact of Optimization'!M" &amp; 5 + (ROW(A12)-1)*4)</f>
        <v>145.37100000000001</v>
      </c>
      <c r="G14" s="41" cm="1">
        <f t="array" aca="1" ref="G14" ca="1">INDIRECT("'C Impact of Optimization'!M" &amp; 6 + (ROW(A12)-1)*4)</f>
        <v>44.187539999999998</v>
      </c>
      <c r="H14" s="42" cm="1">
        <f t="array" aca="1" ref="H14" ca="1">INDIRECT("'C Impact of Optimization'!Q" &amp; 5 + (ROW(D12)-1)*4)*100</f>
        <v>-69.60360732195555</v>
      </c>
      <c r="I14" s="22" t="s">
        <v>182</v>
      </c>
      <c r="J14" s="40">
        <f t="shared" ca="1" si="0"/>
        <v>-81.72775312722203</v>
      </c>
      <c r="K14" s="41"/>
      <c r="L14" s="41"/>
    </row>
    <row r="15" spans="1:19" x14ac:dyDescent="0.25">
      <c r="A15" s="32" t="s">
        <v>16</v>
      </c>
      <c r="B15" s="48" cm="1">
        <f t="array" aca="1" ref="B15" ca="1">INDIRECT("'C Impact of Optimization'!M" &amp; 3 + (ROW(A13)-1)*4)</f>
        <v>900.23260000000005</v>
      </c>
      <c r="C15" s="41" cm="1">
        <f t="array" aca="1" ref="C15" ca="1">INDIRECT("'C Impact of Optimization'!M" &amp; 4 + (ROW(A13)-1)*4)</f>
        <v>192.98400000000001</v>
      </c>
      <c r="D15" s="41" cm="1">
        <f t="array" aca="1" ref="D15" ca="1">INDIRECT("'C Impact of Optimization'!Q" &amp; 3 + (ROW(A13)-1)*4)*100</f>
        <v>-78.562873639546041</v>
      </c>
      <c r="E15" s="22" t="s">
        <v>182</v>
      </c>
      <c r="F15" s="41" cm="1">
        <f t="array" aca="1" ref="F15" ca="1">INDIRECT("'C Impact of Optimization'!M" &amp; 5 + (ROW(A13)-1)*4)</f>
        <v>729.22289999999998</v>
      </c>
      <c r="G15" s="41" cm="1">
        <f t="array" aca="1" ref="G15" ca="1">INDIRECT("'C Impact of Optimization'!M" &amp; 6 + (ROW(A13)-1)*4)</f>
        <v>145.28371000000001</v>
      </c>
      <c r="H15" s="42" cm="1">
        <f t="array" aca="1" ref="H15" ca="1">INDIRECT("'C Impact of Optimization'!Q" &amp; 5 + (ROW(D13)-1)*4)*100</f>
        <v>-80.076913382725635</v>
      </c>
      <c r="I15" s="22" t="s">
        <v>182</v>
      </c>
      <c r="J15" s="40">
        <f t="shared" ca="1" si="0"/>
        <v>-79.319893511135831</v>
      </c>
      <c r="K15" s="41"/>
      <c r="L15" s="41"/>
    </row>
    <row r="16" spans="1:19" x14ac:dyDescent="0.25">
      <c r="A16" s="32" t="s">
        <v>17</v>
      </c>
      <c r="B16" s="48" cm="1">
        <f t="array" aca="1" ref="B16" ca="1">INDIRECT("'C Impact of Optimization'!M" &amp; 3 + (ROW(A14)-1)*4)</f>
        <v>946.51451999999995</v>
      </c>
      <c r="C16" s="41" cm="1">
        <f t="array" aca="1" ref="C16" ca="1">INDIRECT("'C Impact of Optimization'!M" &amp; 4 + (ROW(A14)-1)*4)</f>
        <v>238.577</v>
      </c>
      <c r="D16" s="41" cm="1">
        <f t="array" aca="1" ref="D16" ca="1">INDIRECT("'C Impact of Optimization'!Q" &amp; 3 + (ROW(A14)-1)*4)*100</f>
        <v>-74.794153184253318</v>
      </c>
      <c r="E16" s="22" t="s">
        <v>182</v>
      </c>
      <c r="F16" s="41" cm="1">
        <f t="array" aca="1" ref="F16" ca="1">INDIRECT("'C Impact of Optimization'!M" &amp; 5 + (ROW(A14)-1)*4)</f>
        <v>944.87531999999999</v>
      </c>
      <c r="G16" s="41" cm="1">
        <f t="array" aca="1" ref="G16" ca="1">INDIRECT("'C Impact of Optimization'!M" &amp; 6 + (ROW(A14)-1)*4)</f>
        <v>26.216040000000003</v>
      </c>
      <c r="H16" s="42" cm="1">
        <f t="array" aca="1" ref="H16" ca="1">INDIRECT("'C Impact of Optimization'!Q" &amp; 5 + (ROW(D14)-1)*4)*100</f>
        <v>-97.225449808552526</v>
      </c>
      <c r="I16" s="22" t="s">
        <v>182</v>
      </c>
      <c r="J16" s="40">
        <f t="shared" ca="1" si="0"/>
        <v>-86.009801496402929</v>
      </c>
      <c r="K16" s="41"/>
      <c r="L16" s="41"/>
    </row>
    <row r="17" spans="1:12" x14ac:dyDescent="0.25">
      <c r="A17" s="32" t="s">
        <v>20</v>
      </c>
      <c r="B17" s="48" cm="1">
        <f t="array" aca="1" ref="B17" ca="1">INDIRECT("'C Impact of Optimization'!M" &amp; 3 + (ROW(A15)-1)*4)</f>
        <v>344.20187999999996</v>
      </c>
      <c r="C17" s="41" cm="1">
        <f t="array" aca="1" ref="C17" ca="1">INDIRECT("'C Impact of Optimization'!M" &amp; 4 + (ROW(A15)-1)*4)</f>
        <v>35.9373</v>
      </c>
      <c r="D17" s="41" cm="1">
        <f t="array" aca="1" ref="D17" ca="1">INDIRECT("'C Impact of Optimization'!Q" &amp; 3 + (ROW(A15)-1)*4)*100</f>
        <v>-89.559237735714873</v>
      </c>
      <c r="E17" s="22" t="s">
        <v>182</v>
      </c>
      <c r="F17" s="41" cm="1">
        <f t="array" aca="1" ref="F17" ca="1">INDIRECT("'C Impact of Optimization'!M" &amp; 5 + (ROW(A15)-1)*4)</f>
        <v>693.75798999999995</v>
      </c>
      <c r="G17" s="41" cm="1">
        <f t="array" aca="1" ref="G17" ca="1">INDIRECT("'C Impact of Optimization'!M" &amp; 6 + (ROW(A15)-1)*4)</f>
        <v>33.656089999999999</v>
      </c>
      <c r="H17" s="42" cm="1">
        <f t="array" aca="1" ref="H17" ca="1">INDIRECT("'C Impact of Optimization'!Q" &amp; 5 + (ROW(D15)-1)*4)*100</f>
        <v>-95.148727584384289</v>
      </c>
      <c r="I17" s="22" t="s">
        <v>182</v>
      </c>
      <c r="J17" s="40">
        <f t="shared" ca="1" si="0"/>
        <v>-92.353982660049581</v>
      </c>
      <c r="K17" s="41"/>
      <c r="L17" s="41"/>
    </row>
    <row r="18" spans="1:12" x14ac:dyDescent="0.25">
      <c r="A18" s="32" t="s">
        <v>21</v>
      </c>
      <c r="B18" s="48" cm="1">
        <f t="array" aca="1" ref="B18" ca="1">INDIRECT("'C Impact of Optimization'!M" &amp; 3 + (ROW(A16)-1)*4)</f>
        <v>14.343899999999998</v>
      </c>
      <c r="C18" s="41" cm="1">
        <f t="array" aca="1" ref="C18" ca="1">INDIRECT("'C Impact of Optimization'!M" &amp; 4 + (ROW(A16)-1)*4)</f>
        <v>6.4452000000000007</v>
      </c>
      <c r="D18" s="41" cm="1">
        <f t="array" aca="1" ref="D18" ca="1">INDIRECT("'C Impact of Optimization'!Q" &amp; 3 + (ROW(A16)-1)*4)*100</f>
        <v>-55.066613682471285</v>
      </c>
      <c r="E18" s="22" t="s">
        <v>182</v>
      </c>
      <c r="F18" s="41" cm="1">
        <f t="array" aca="1" ref="F18" ca="1">INDIRECT("'C Impact of Optimization'!M" &amp; 5 + (ROW(A16)-1)*4)</f>
        <v>13.904159999999999</v>
      </c>
      <c r="G18" s="41" cm="1">
        <f t="array" aca="1" ref="G18" ca="1">INDIRECT("'C Impact of Optimization'!M" &amp; 6 + (ROW(A16)-1)*4)</f>
        <v>6.7571599999999998</v>
      </c>
      <c r="H18" s="42" cm="1">
        <f t="array" aca="1" ref="H18" ca="1">INDIRECT("'C Impact of Optimization'!Q" &amp; 5 + (ROW(D16)-1)*4)*100</f>
        <v>-51.401882602041404</v>
      </c>
      <c r="I18" s="22" t="s">
        <v>182</v>
      </c>
      <c r="J18" s="40">
        <f t="shared" ca="1" si="0"/>
        <v>-53.234248142256348</v>
      </c>
      <c r="K18" s="41"/>
      <c r="L18" s="41"/>
    </row>
    <row r="19" spans="1:12" x14ac:dyDescent="0.25">
      <c r="A19" s="32" t="s">
        <v>23</v>
      </c>
      <c r="B19" s="48" cm="1">
        <f t="array" aca="1" ref="B19" ca="1">INDIRECT("'C Impact of Optimization'!M" &amp; 3 + (ROW(A17)-1)*4)</f>
        <v>978.72390000000007</v>
      </c>
      <c r="C19" s="41" cm="1">
        <f t="array" aca="1" ref="C19" ca="1">INDIRECT("'C Impact of Optimization'!M" &amp; 4 + (ROW(A17)-1)*4)</f>
        <v>756.50404000000003</v>
      </c>
      <c r="D19" s="41" cm="1">
        <f t="array" aca="1" ref="D19" ca="1">INDIRECT("'C Impact of Optimization'!Q" &amp; 3 + (ROW(A17)-1)*4)*100</f>
        <v>-22.705061151566856</v>
      </c>
      <c r="E19" s="22" t="s">
        <v>182</v>
      </c>
      <c r="F19" s="41" cm="1">
        <f t="array" aca="1" ref="F19" ca="1">INDIRECT("'C Impact of Optimization'!M" &amp; 5 + (ROW(A17)-1)*4)</f>
        <v>2084.87565</v>
      </c>
      <c r="G19" s="41" cm="1">
        <f t="array" aca="1" ref="G19" ca="1">INDIRECT("'C Impact of Optimization'!M" &amp; 6 + (ROW(A17)-1)*4)</f>
        <v>1718.97792</v>
      </c>
      <c r="H19" s="42" cm="1">
        <f t="array" aca="1" ref="H19" ca="1">INDIRECT("'C Impact of Optimization'!Q" &amp; 5 + (ROW(D17)-1)*4)*100</f>
        <v>-17.550098491485567</v>
      </c>
      <c r="I19" s="22" t="s">
        <v>182</v>
      </c>
      <c r="J19" s="40">
        <f t="shared" ca="1" si="0"/>
        <v>-20.127579821526211</v>
      </c>
      <c r="K19" s="41"/>
      <c r="L19" s="41"/>
    </row>
    <row r="20" spans="1:12" x14ac:dyDescent="0.25">
      <c r="A20" s="32" t="s">
        <v>25</v>
      </c>
      <c r="B20" s="48" cm="1">
        <f t="array" aca="1" ref="B20" ca="1">INDIRECT("'C Impact of Optimization'!M" &amp; 3 + (ROW(A18)-1)*4)</f>
        <v>18.961169999999999</v>
      </c>
      <c r="C20" s="41" cm="1">
        <f t="array" aca="1" ref="C20" ca="1">INDIRECT("'C Impact of Optimization'!M" &amp; 4 + (ROW(A18)-1)*4)</f>
        <v>7.1421200000000011</v>
      </c>
      <c r="D20" s="41" cm="1">
        <f t="array" aca="1" ref="D20" ca="1">INDIRECT("'C Impact of Optimization'!Q" &amp; 3 + (ROW(A18)-1)*4)*100</f>
        <v>-62.332915110196254</v>
      </c>
      <c r="E20" s="22" t="s">
        <v>182</v>
      </c>
      <c r="F20" s="41" cm="1">
        <f t="array" aca="1" ref="F20" ca="1">INDIRECT("'C Impact of Optimization'!M" &amp; 5 + (ROW(A18)-1)*4)</f>
        <v>15.87252</v>
      </c>
      <c r="G20" s="41" cm="1">
        <f t="array" aca="1" ref="G20" ca="1">INDIRECT("'C Impact of Optimization'!M" &amp; 6 + (ROW(A18)-1)*4)</f>
        <v>7.6189599999999995</v>
      </c>
      <c r="H20" s="42" cm="1">
        <f t="array" aca="1" ref="H20" ca="1">INDIRECT("'C Impact of Optimization'!Q" &amp; 5 + (ROW(D18)-1)*4)*100</f>
        <v>-51.999052450398551</v>
      </c>
      <c r="I20" s="22" t="s">
        <v>182</v>
      </c>
      <c r="J20" s="40">
        <f t="shared" ca="1" si="0"/>
        <v>-57.165983780297402</v>
      </c>
      <c r="K20" s="41"/>
      <c r="L20" s="41"/>
    </row>
    <row r="21" spans="1:12" x14ac:dyDescent="0.25">
      <c r="A21" s="32" t="s">
        <v>26</v>
      </c>
      <c r="B21" s="48" cm="1">
        <f t="array" aca="1" ref="B21" ca="1">INDIRECT("'C Impact of Optimization'!M" &amp; 3 + (ROW(A19)-1)*4)</f>
        <v>24.97616</v>
      </c>
      <c r="C21" s="41" cm="1">
        <f t="array" aca="1" ref="C21" ca="1">INDIRECT("'C Impact of Optimization'!M" &amp; 4 + (ROW(A19)-1)*4)</f>
        <v>20.332740000000001</v>
      </c>
      <c r="D21" s="41" cm="1">
        <f t="array" aca="1" ref="D21" ca="1">INDIRECT("'C Impact of Optimization'!Q" &amp; 3 + (ROW(A19)-1)*4)*100</f>
        <v>-18.591408767400587</v>
      </c>
      <c r="E21" s="22" t="s">
        <v>182</v>
      </c>
      <c r="F21" s="41" cm="1">
        <f t="array" aca="1" ref="F21" ca="1">INDIRECT("'C Impact of Optimization'!M" &amp; 5 + (ROW(A19)-1)*4)</f>
        <v>25.902779999999996</v>
      </c>
      <c r="G21" s="41" cm="1">
        <f t="array" aca="1" ref="G21" ca="1">INDIRECT("'C Impact of Optimization'!M" &amp; 6 + (ROW(A19)-1)*4)</f>
        <v>21.547259999999998</v>
      </c>
      <c r="H21" s="42" cm="1">
        <f t="array" aca="1" ref="H21" ca="1">INDIRECT("'C Impact of Optimization'!Q" &amp; 5 + (ROW(D19)-1)*4)*100</f>
        <v>-16.814874696847205</v>
      </c>
      <c r="I21" s="22" t="s">
        <v>182</v>
      </c>
      <c r="J21" s="40">
        <f t="shared" ca="1" si="0"/>
        <v>-17.703141732123896</v>
      </c>
      <c r="K21" s="41"/>
      <c r="L21" s="41"/>
    </row>
    <row r="22" spans="1:12" x14ac:dyDescent="0.25">
      <c r="A22" s="32" t="s">
        <v>29</v>
      </c>
      <c r="B22" s="48" cm="1">
        <f t="array" aca="1" ref="B22" ca="1">INDIRECT("'C Impact of Optimization'!M" &amp; 3 + (ROW(A20)-1)*4)</f>
        <v>178.74303</v>
      </c>
      <c r="C22" s="41" cm="1">
        <f t="array" aca="1" ref="C22" ca="1">INDIRECT("'C Impact of Optimization'!M" &amp; 4 + (ROW(A20)-1)*4)</f>
        <v>5.2979900000000004</v>
      </c>
      <c r="D22" s="41" cm="1">
        <f t="array" aca="1" ref="D22" ca="1">INDIRECT("'C Impact of Optimization'!Q" &amp; 3 + (ROW(A20)-1)*4)*100</f>
        <v>-97.035973934200399</v>
      </c>
      <c r="E22" s="22" t="s">
        <v>182</v>
      </c>
      <c r="F22" s="41" cm="1">
        <f t="array" aca="1" ref="F22" ca="1">INDIRECT("'C Impact of Optimization'!M" &amp; 5 + (ROW(A20)-1)*4)</f>
        <v>171.01735000000002</v>
      </c>
      <c r="G22" s="41" cm="1">
        <f t="array" aca="1" ref="G22" ca="1">INDIRECT("'C Impact of Optimization'!M" &amp; 6 + (ROW(A20)-1)*4)</f>
        <v>5.8314500000000002</v>
      </c>
      <c r="H22" s="42" cm="1">
        <f t="array" aca="1" ref="H22" ca="1">INDIRECT("'C Impact of Optimization'!Q" &amp; 5 + (ROW(D20)-1)*4)*100</f>
        <v>-96.590141292681722</v>
      </c>
      <c r="I22" s="22" t="s">
        <v>182</v>
      </c>
      <c r="J22" s="40">
        <f t="shared" ca="1" si="0"/>
        <v>-96.81305761344106</v>
      </c>
      <c r="K22" s="41"/>
      <c r="L22" s="41"/>
    </row>
    <row r="23" spans="1:12" x14ac:dyDescent="0.25">
      <c r="A23" s="32" t="s">
        <v>33</v>
      </c>
      <c r="B23" s="48" cm="1">
        <f t="array" aca="1" ref="B23" ca="1">INDIRECT("'C Impact of Optimization'!M" &amp; 3 + (ROW(A21)-1)*4)</f>
        <v>625.08848</v>
      </c>
      <c r="C23" s="41" cm="1">
        <f t="array" aca="1" ref="C23" ca="1">INDIRECT("'C Impact of Optimization'!M" &amp; 4 + (ROW(A21)-1)*4)</f>
        <v>263.63058000000001</v>
      </c>
      <c r="D23" s="41" cm="1">
        <f t="array" aca="1" ref="D23" ca="1">INDIRECT("'C Impact of Optimization'!Q" &amp; 3 + (ROW(A21)-1)*4)*100</f>
        <v>-57.825077819383267</v>
      </c>
      <c r="E23" s="22" t="s">
        <v>182</v>
      </c>
      <c r="F23" s="41" cm="1">
        <f t="array" aca="1" ref="F23" ca="1">INDIRECT("'C Impact of Optimization'!M" &amp; 5 + (ROW(A21)-1)*4)</f>
        <v>542.62944000000005</v>
      </c>
      <c r="G23" s="41" cm="1">
        <f t="array" aca="1" ref="G23" ca="1">INDIRECT("'C Impact of Optimization'!M" &amp; 6 + (ROW(A21)-1)*4)</f>
        <v>52.135620000000003</v>
      </c>
      <c r="H23" s="42" cm="1">
        <f t="array" aca="1" ref="H23" ca="1">INDIRECT("'C Impact of Optimization'!Q" &amp; 5 + (ROW(D21)-1)*4)*100</f>
        <v>-90.392039915858604</v>
      </c>
      <c r="I23" s="22" t="s">
        <v>182</v>
      </c>
      <c r="J23" s="40">
        <f t="shared" ca="1" si="0"/>
        <v>-74.108558867620928</v>
      </c>
      <c r="K23" s="41"/>
      <c r="L23" s="41"/>
    </row>
    <row r="24" spans="1:12" x14ac:dyDescent="0.25">
      <c r="A24" s="32" t="s">
        <v>37</v>
      </c>
      <c r="B24" s="48" cm="1">
        <f t="array" aca="1" ref="B24" ca="1">INDIRECT("'C Impact of Optimization'!M" &amp; 3 + (ROW(A22)-1)*4)</f>
        <v>4.0584800000000003</v>
      </c>
      <c r="C24" s="41" cm="1">
        <f t="array" aca="1" ref="C24" ca="1">INDIRECT("'C Impact of Optimization'!M" &amp; 4 + (ROW(A22)-1)*4)</f>
        <v>3.661</v>
      </c>
      <c r="D24" s="41" cm="1">
        <f t="array" aca="1" ref="D24" ca="1">INDIRECT("'C Impact of Optimization'!Q" &amp; 3 + (ROW(A22)-1)*4)*100</f>
        <v>-9.7938144329896968</v>
      </c>
      <c r="E24" s="22" t="s">
        <v>182</v>
      </c>
      <c r="F24" s="41" cm="1">
        <f t="array" aca="1" ref="F24" ca="1">INDIRECT("'C Impact of Optimization'!M" &amp; 5 + (ROW(A22)-1)*4)</f>
        <v>3.52502</v>
      </c>
      <c r="G24" s="41" cm="1">
        <f t="array" aca="1" ref="G24" ca="1">INDIRECT("'C Impact of Optimization'!M" &amp; 6 + (ROW(A22)-1)*4)</f>
        <v>4.2206100000000006</v>
      </c>
      <c r="H24" s="42" cm="1">
        <f t="array" aca="1" ref="H24" ca="1">INDIRECT("'C Impact of Optimization'!Q" &amp; 5 + (ROW(D22)-1)*4)*100</f>
        <v>19.732937685459959</v>
      </c>
      <c r="I24" s="22" t="s">
        <v>182</v>
      </c>
      <c r="J24" s="40">
        <f t="shared" ca="1" si="0"/>
        <v>4.969561626235131</v>
      </c>
      <c r="K24" s="41"/>
      <c r="L24" s="41"/>
    </row>
    <row r="25" spans="1:12" x14ac:dyDescent="0.25">
      <c r="A25" s="32" t="s">
        <v>39</v>
      </c>
      <c r="B25" s="48" cm="1">
        <f t="array" aca="1" ref="B25" ca="1">INDIRECT("'C Impact of Optimization'!M" &amp; 3 + (ROW(A23)-1)*4)</f>
        <v>417.29231999999996</v>
      </c>
      <c r="C25" s="41" cm="1">
        <f t="array" aca="1" ref="C25" ca="1">INDIRECT("'C Impact of Optimization'!M" &amp; 4 + (ROW(A23)-1)*4)</f>
        <v>7.2540100000000001</v>
      </c>
      <c r="D25" s="41" cm="1">
        <f t="array" aca="1" ref="D25" ca="1">INDIRECT("'C Impact of Optimization'!Q" &amp; 3 + (ROW(A23)-1)*4)*100</f>
        <v>-98.261647853955239</v>
      </c>
      <c r="E25" s="22" t="s">
        <v>186</v>
      </c>
      <c r="F25" s="41" cm="1">
        <f t="array" aca="1" ref="F25" ca="1">INDIRECT("'C Impact of Optimization'!M" &amp; 5 + (ROW(A23)-1)*4)</f>
        <v>175.72839000000002</v>
      </c>
      <c r="G25" s="41" cm="1">
        <f t="array" aca="1" ref="G25" ca="1">INDIRECT("'C Impact of Optimization'!M" &amp; 6 + (ROW(A23)-1)*4)</f>
        <v>40.786880000000004</v>
      </c>
      <c r="H25" s="42" cm="1">
        <f t="array" aca="1" ref="H25" ca="1">INDIRECT("'C Impact of Optimization'!Q" &amp; 5 + (ROW(D23)-1)*4)*100</f>
        <v>-76.789817513265788</v>
      </c>
      <c r="I25" s="22" t="s">
        <v>183</v>
      </c>
      <c r="J25" s="40">
        <f t="shared" ca="1" si="0"/>
        <v>-87.525732683610514</v>
      </c>
      <c r="K25" s="41"/>
      <c r="L25" s="41"/>
    </row>
    <row r="32" spans="1:12" x14ac:dyDescent="0.25">
      <c r="D32" s="118" t="s">
        <v>92</v>
      </c>
      <c r="E32" s="119"/>
      <c r="F32" s="119"/>
      <c r="G32" s="120"/>
      <c r="I32" s="118" t="s">
        <v>93</v>
      </c>
      <c r="J32" s="119"/>
      <c r="K32" s="119"/>
      <c r="L32" s="120"/>
    </row>
    <row r="33" spans="4:12" x14ac:dyDescent="0.25">
      <c r="D33" s="38" t="s">
        <v>100</v>
      </c>
      <c r="E33" s="58" t="s">
        <v>190</v>
      </c>
      <c r="F33" s="58" t="s">
        <v>191</v>
      </c>
      <c r="G33" s="59" t="s">
        <v>192</v>
      </c>
      <c r="I33" s="38" t="s">
        <v>100</v>
      </c>
      <c r="J33" s="58" t="s">
        <v>190</v>
      </c>
      <c r="K33" s="58" t="s">
        <v>191</v>
      </c>
      <c r="L33" s="59" t="s">
        <v>192</v>
      </c>
    </row>
    <row r="34" spans="4:12" x14ac:dyDescent="0.25">
      <c r="D34" s="67" t="s">
        <v>187</v>
      </c>
      <c r="E34" s="1" cm="1">
        <f t="array" aca="1" ref="E34" ca="1">AVERAGE(_xlfn._xlws.FILTER($D$3:$D$25, ISNUMBER(MATCH($A$3:$A$25, _xlfn.TEXTSPLIT(_xlfn.TEXTJOIN(", ", TRUE, O5:O7), ", "), 0))))</f>
        <v>-58.631875970233445</v>
      </c>
      <c r="F34" s="1" cm="1">
        <f t="array" aca="1" ref="F34" ca="1">MIN(_xlfn._xlws.FILTER($D$3:$D$25, ISNUMBER(MATCH($A$3:$A$25, _xlfn.TEXTSPLIT(_xlfn.TEXTJOIN(", ", TRUE, O5:O7), ", "), 0))))</f>
        <v>-98.261647853955239</v>
      </c>
      <c r="G34" s="64" cm="1">
        <f t="array" aca="1" ref="G34" ca="1">MAX(_xlfn._xlws.FILTER($D$3:$D$25, ISNUMBER(MATCH($A$3:$A$25, _xlfn.TEXTSPLIT(_xlfn.TEXTJOIN(", ", TRUE, O5:O7), ", "), 0))))</f>
        <v>-9.7938144329896968</v>
      </c>
      <c r="I34" s="67" t="s">
        <v>187</v>
      </c>
      <c r="J34" s="1" cm="1">
        <f t="array" aca="1" ref="J34" ca="1">AVERAGE(_xlfn._xlws.FILTER($H$3:$H$25, ISNUMBER(MATCH($A$3:$A$25, _xlfn.TEXTSPLIT(_xlfn.TEXTJOIN(", ", TRUE, S5:S7), ", "), 0))))</f>
        <v>-60.815161768932619</v>
      </c>
      <c r="K34" s="1" cm="1">
        <f t="array" aca="1" ref="K34" ca="1">MIN(_xlfn._xlws.FILTER($H$3:$H$25, ISNUMBER(MATCH($A$3:$A$25, _xlfn.TEXTSPLIT(_xlfn.TEXTJOIN(", ", TRUE, S5:S7), ", "), 0))))</f>
        <v>-97.225449808552526</v>
      </c>
      <c r="L34" s="64" cm="1">
        <f t="array" aca="1" ref="L34" ca="1">MAX(_xlfn._xlws.FILTER($H$3:$H$25, ISNUMBER(MATCH($A$3:$A$25, _xlfn.TEXTSPLIT(_xlfn.TEXTJOIN(", ", TRUE, S5:S7), ", "), 0))))</f>
        <v>-5.9862102930312719</v>
      </c>
    </row>
    <row r="35" spans="4:12" x14ac:dyDescent="0.25">
      <c r="D35" s="68" t="s">
        <v>188</v>
      </c>
      <c r="E35" s="1" cm="1">
        <f t="array" aca="1" ref="E35" ca="1">AVERAGE(_xlfn._xlws.FILTER($D$3:$D$25, ISNUMBER(MATCH($A$3:$A$25, _xlfn.TEXTSPLIT(_xlfn.TEXTJOIN(", ", TRUE, O8), ", "), 0))))</f>
        <v>-0.12496239474628662</v>
      </c>
      <c r="F35" s="1" cm="1">
        <f t="array" aca="1" ref="F35" ca="1">MIN(_xlfn._xlws.FILTER($D$3:$D$25, ISNUMBER(MATCH($A$3:$A$25, _xlfn.TEXTSPLIT(_xlfn.TEXTJOIN(", ", TRUE, O8), ", "), 0))))</f>
        <v>-0.67369242189285594</v>
      </c>
      <c r="G35" s="64" cm="1">
        <f t="array" aca="1" ref="G35" ca="1">MAX(_xlfn._xlws.FILTER($D$3:$D$25, ISNUMBER(MATCH($A$3:$A$25, _xlfn.TEXTSPLIT(_xlfn.TEXTJOIN(", ", TRUE, O8), ", "), 0))))</f>
        <v>0.4237676324002827</v>
      </c>
      <c r="I35" s="68" t="s">
        <v>188</v>
      </c>
      <c r="J35" s="1"/>
      <c r="K35" s="1"/>
      <c r="L35" s="64"/>
    </row>
    <row r="36" spans="4:12" x14ac:dyDescent="0.25">
      <c r="D36" s="6" t="s">
        <v>189</v>
      </c>
      <c r="E36" s="66" cm="1">
        <f t="array" aca="1" ref="E36" ca="1">AVERAGE(_xlfn._xlws.FILTER($D$3:$D$25, ISNUMBER(MATCH($A$3:$A$25, _xlfn.TEXTSPLIT(_xlfn.TEXTJOIN(", ", TRUE, O9:O11), ", "), 0))))</f>
        <v>362.99717885453975</v>
      </c>
      <c r="F36" s="66" cm="1">
        <f t="array" aca="1" ref="F36" ca="1">MIN(_xlfn._xlws.FILTER($D$3:$D$25, ISNUMBER(MATCH($A$3:$A$25, _xlfn.TEXTSPLIT(_xlfn.TEXTJOIN(", ", TRUE, O9:O11), ", "), 0))))</f>
        <v>362.99717885453975</v>
      </c>
      <c r="G36" s="65" cm="1">
        <f t="array" aca="1" ref="G36" ca="1">MAX(_xlfn._xlws.FILTER($D$3:$D$25, ISNUMBER(MATCH($A$3:$A$25, _xlfn.TEXTSPLIT(_xlfn.TEXTJOIN(", ", TRUE, O9:O11), ", "), 0))))</f>
        <v>362.99717885453975</v>
      </c>
      <c r="I36" s="6" t="s">
        <v>189</v>
      </c>
      <c r="J36" s="66" cm="1">
        <f t="array" aca="1" ref="J36" ca="1">AVERAGE(_xlfn._xlws.FILTER($H$3:$H$25, ISNUMBER(MATCH($A$3:$A$25, _xlfn.TEXTSPLIT(_xlfn.TEXTJOIN(", ", TRUE, S9:S11), ", "), 0))))</f>
        <v>11.908511874751245</v>
      </c>
      <c r="K36" s="66" cm="1">
        <f t="array" aca="1" ref="K36" ca="1">MIN(_xlfn._xlws.FILTER($H$3:$H$25, ISNUMBER(MATCH($A$3:$A$25, _xlfn.TEXTSPLIT(_xlfn.TEXTJOIN(", ", TRUE, S9:S11), ", "), 0))))</f>
        <v>4.0840860640425323</v>
      </c>
      <c r="L36" s="65" cm="1">
        <f t="array" aca="1" ref="L36" ca="1">MAX(_xlfn._xlws.FILTER($H$3:$H$25, ISNUMBER(MATCH($A$3:$A$25, _xlfn.TEXTSPLIT(_xlfn.TEXTJOIN(", ", TRUE, S9:S11), ", "), 0))))</f>
        <v>19.732937685459959</v>
      </c>
    </row>
  </sheetData>
  <mergeCells count="6">
    <mergeCell ref="D32:G32"/>
    <mergeCell ref="I32:L32"/>
    <mergeCell ref="N3:O3"/>
    <mergeCell ref="R3:S3"/>
    <mergeCell ref="F1:I1"/>
    <mergeCell ref="B1:E1"/>
  </mergeCells>
  <conditionalFormatting sqref="D3:D25">
    <cfRule type="expression" dxfId="55" priority="22">
      <formula>AND(D3 &gt; -3, D3 &lt; 3)</formula>
    </cfRule>
    <cfRule type="expression" dxfId="54" priority="23">
      <formula>AND(D3 &gt; -25, D3 &lt;= -3)</formula>
    </cfRule>
    <cfRule type="expression" dxfId="53" priority="24">
      <formula>AND(D3 &gt; -75, D3 &lt;= -25)</formula>
    </cfRule>
    <cfRule type="expression" dxfId="52" priority="25">
      <formula>D3 &lt;= -75</formula>
    </cfRule>
    <cfRule type="expression" dxfId="51" priority="26">
      <formula>AND(D3 &lt; 25, D3 &gt;= 3)</formula>
    </cfRule>
    <cfRule type="expression" dxfId="50" priority="27">
      <formula>AND(D3 &lt; 75, D3 &gt;= 25)</formula>
    </cfRule>
    <cfRule type="expression" dxfId="49" priority="28">
      <formula>D3 &gt;= 75</formula>
    </cfRule>
  </conditionalFormatting>
  <conditionalFormatting sqref="H3:H25">
    <cfRule type="expression" dxfId="48" priority="1">
      <formula>AND(H3 &gt; -3, H3 &lt; 3)</formula>
    </cfRule>
    <cfRule type="expression" dxfId="47" priority="2">
      <formula>AND(H3 &gt; -25, H3 &lt;= -3)</formula>
    </cfRule>
    <cfRule type="expression" dxfId="46" priority="3">
      <formula>AND(H3 &gt; -75, H3 &lt;= -25)</formula>
    </cfRule>
    <cfRule type="expression" dxfId="45" priority="4">
      <formula>H3 &lt;= -75</formula>
    </cfRule>
    <cfRule type="expression" dxfId="44" priority="5">
      <formula>AND(H3 &lt; 25, H3 &gt;= 3)</formula>
    </cfRule>
    <cfRule type="expression" dxfId="43" priority="6">
      <formula>AND(H3 &lt; 75, H3 &gt;= 25)</formula>
    </cfRule>
    <cfRule type="expression" dxfId="42" priority="7">
      <formula>H3 &gt;= 75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2A9B1-22E8-4691-8BE7-91E85B957789}">
  <dimension ref="A1:W95"/>
  <sheetViews>
    <sheetView topLeftCell="A91" zoomScale="115" zoomScaleNormal="115" workbookViewId="0">
      <selection activeCell="B95" sqref="A95:XFD102"/>
    </sheetView>
  </sheetViews>
  <sheetFormatPr baseColWidth="10" defaultColWidth="9.140625" defaultRowHeight="15" x14ac:dyDescent="0.25"/>
  <cols>
    <col min="1" max="1" width="11.85546875" bestFit="1" customWidth="1"/>
    <col min="2" max="2" width="14" style="84" bestFit="1" customWidth="1"/>
    <col min="3" max="3" width="14" style="84" customWidth="1"/>
    <col min="4" max="4" width="17" bestFit="1" customWidth="1"/>
    <col min="5" max="5" width="7.140625" bestFit="1" customWidth="1"/>
    <col min="6" max="8" width="11.28515625" bestFit="1" customWidth="1"/>
    <col min="9" max="9" width="11.140625" bestFit="1" customWidth="1"/>
    <col min="10" max="11" width="13.28515625" customWidth="1"/>
    <col min="12" max="12" width="13.42578125" customWidth="1"/>
    <col min="13" max="14" width="14" customWidth="1"/>
    <col min="15" max="18" width="14.85546875" customWidth="1"/>
    <col min="19" max="19" width="14.42578125" customWidth="1"/>
    <col min="20" max="20" width="14" customWidth="1"/>
    <col min="21" max="21" width="12.5703125" customWidth="1"/>
    <col min="22" max="22" width="13.28515625" customWidth="1"/>
    <col min="23" max="23" width="8.7109375" customWidth="1"/>
    <col min="38" max="43" width="12" bestFit="1" customWidth="1"/>
  </cols>
  <sheetData>
    <row r="1" spans="1:23" x14ac:dyDescent="0.25">
      <c r="A1" s="121" t="s">
        <v>63</v>
      </c>
      <c r="B1" s="129" t="s">
        <v>193</v>
      </c>
      <c r="C1" s="129" t="s">
        <v>194</v>
      </c>
      <c r="D1" s="121" t="s">
        <v>47</v>
      </c>
      <c r="E1" s="121" t="s">
        <v>46</v>
      </c>
      <c r="F1" s="121" t="s">
        <v>48</v>
      </c>
      <c r="G1" s="111" t="s">
        <v>49</v>
      </c>
      <c r="H1" s="111"/>
      <c r="I1" s="111"/>
      <c r="J1" s="111" t="s">
        <v>50</v>
      </c>
      <c r="K1" s="111"/>
      <c r="L1" s="111"/>
      <c r="M1" s="111" t="s">
        <v>51</v>
      </c>
      <c r="N1" s="111"/>
      <c r="O1" s="111"/>
      <c r="P1" s="111" t="s">
        <v>195</v>
      </c>
      <c r="Q1" s="111"/>
      <c r="R1" s="111"/>
      <c r="S1" s="111" t="s">
        <v>64</v>
      </c>
      <c r="T1" s="111"/>
      <c r="U1" s="111"/>
      <c r="V1" s="111"/>
    </row>
    <row r="2" spans="1:23" x14ac:dyDescent="0.25">
      <c r="A2" s="121"/>
      <c r="B2" s="130"/>
      <c r="C2" s="131"/>
      <c r="D2" s="121"/>
      <c r="E2" s="121"/>
      <c r="F2" s="102"/>
      <c r="G2" s="69" t="s">
        <v>53</v>
      </c>
      <c r="H2" s="69" t="s">
        <v>54</v>
      </c>
      <c r="I2" s="69" t="s">
        <v>55</v>
      </c>
      <c r="J2" s="69" t="s">
        <v>56</v>
      </c>
      <c r="K2" s="69" t="s">
        <v>57</v>
      </c>
      <c r="L2" s="69" t="s">
        <v>58</v>
      </c>
      <c r="M2" s="69" t="s">
        <v>56</v>
      </c>
      <c r="N2" s="69" t="s">
        <v>57</v>
      </c>
      <c r="O2" s="69" t="s">
        <v>58</v>
      </c>
      <c r="P2" s="69" t="s">
        <v>56</v>
      </c>
      <c r="Q2" s="69" t="s">
        <v>57</v>
      </c>
      <c r="R2" s="69" t="s">
        <v>58</v>
      </c>
      <c r="S2" s="11" t="s">
        <v>48</v>
      </c>
      <c r="T2" s="11" t="s">
        <v>56</v>
      </c>
      <c r="U2" s="11" t="s">
        <v>57</v>
      </c>
      <c r="V2" s="11" t="s">
        <v>58</v>
      </c>
    </row>
    <row r="3" spans="1:23" x14ac:dyDescent="0.25">
      <c r="A3" s="128" t="s">
        <v>101</v>
      </c>
      <c r="B3" s="91">
        <v>100000000</v>
      </c>
      <c r="C3" s="91">
        <f>100000000/B3</f>
        <v>1</v>
      </c>
      <c r="D3" s="124" t="s">
        <v>115</v>
      </c>
      <c r="E3" s="62" t="s">
        <v>59</v>
      </c>
      <c r="F3" s="52">
        <v>88.540999999999997</v>
      </c>
      <c r="G3" s="54">
        <v>1.63</v>
      </c>
      <c r="H3" s="53">
        <v>26.21</v>
      </c>
      <c r="I3" s="55">
        <v>175.9</v>
      </c>
      <c r="J3" s="54">
        <v>144.32182999999998</v>
      </c>
      <c r="K3" s="53">
        <v>2320.6596100000002</v>
      </c>
      <c r="L3" s="55">
        <v>15574.3619</v>
      </c>
      <c r="M3" s="53">
        <v>107.13461</v>
      </c>
      <c r="N3" s="53">
        <v>2269.3058299999998</v>
      </c>
      <c r="O3" s="53">
        <v>5830.4248499999994</v>
      </c>
      <c r="P3" s="54">
        <f>M3*C3</f>
        <v>107.13461</v>
      </c>
      <c r="Q3" s="53">
        <f>N3*C3</f>
        <v>2269.3058299999998</v>
      </c>
      <c r="R3" s="55">
        <f>O3*C3</f>
        <v>5830.4248499999994</v>
      </c>
      <c r="S3" s="108">
        <f t="shared" ref="S3" si="0">(F4-F3)/F3</f>
        <v>-0.47006471578138942</v>
      </c>
      <c r="T3" s="108">
        <f>(P4-P3)/P3</f>
        <v>-4.5240562316883247E-2</v>
      </c>
      <c r="U3" s="108">
        <f>(Q4-Q3)/Q3</f>
        <v>-0.48288406327321681</v>
      </c>
      <c r="V3" s="109">
        <f>(R4-R3)/R3</f>
        <v>-0.5024161180981519</v>
      </c>
      <c r="W3" s="2"/>
    </row>
    <row r="4" spans="1:23" x14ac:dyDescent="0.25">
      <c r="A4" s="128"/>
      <c r="B4" s="91">
        <v>100000000</v>
      </c>
      <c r="C4" s="91">
        <v>1</v>
      </c>
      <c r="D4" s="110"/>
      <c r="E4" s="62" t="s">
        <v>62</v>
      </c>
      <c r="F4" s="17">
        <v>46.920999999999999</v>
      </c>
      <c r="G4" s="19">
        <v>2.6</v>
      </c>
      <c r="H4" s="18">
        <v>25.59</v>
      </c>
      <c r="I4" s="20">
        <v>171.89</v>
      </c>
      <c r="J4" s="19">
        <v>121.99460000000001</v>
      </c>
      <c r="K4" s="18">
        <v>1200.70839</v>
      </c>
      <c r="L4" s="20">
        <v>8065.2506899999989</v>
      </c>
      <c r="M4" s="18">
        <v>102.28778000000001</v>
      </c>
      <c r="N4" s="18">
        <v>1173.4942100000001</v>
      </c>
      <c r="O4" s="18">
        <v>2901.1254300000001</v>
      </c>
      <c r="P4" s="19">
        <f t="shared" ref="P4:P63" si="1">M4*C4</f>
        <v>102.28778000000001</v>
      </c>
      <c r="Q4" s="18">
        <f t="shared" ref="Q4:Q63" si="2">N4*C4</f>
        <v>1173.4942100000001</v>
      </c>
      <c r="R4" s="20">
        <f t="shared" ref="R4:R63" si="3">O4*C4</f>
        <v>2901.1254300000001</v>
      </c>
      <c r="S4" s="108"/>
      <c r="T4" s="108"/>
      <c r="U4" s="108"/>
      <c r="V4" s="109"/>
      <c r="W4" s="2"/>
    </row>
    <row r="5" spans="1:23" x14ac:dyDescent="0.25">
      <c r="A5" s="128"/>
      <c r="B5" s="91">
        <v>100000000</v>
      </c>
      <c r="C5" s="91">
        <v>1</v>
      </c>
      <c r="D5" s="110" t="s">
        <v>66</v>
      </c>
      <c r="E5" s="62" t="s">
        <v>59</v>
      </c>
      <c r="F5" s="17">
        <v>130.28800000000001</v>
      </c>
      <c r="G5" s="19">
        <v>2.06</v>
      </c>
      <c r="H5" s="18">
        <v>25.23</v>
      </c>
      <c r="I5" s="20">
        <v>172.23</v>
      </c>
      <c r="J5" s="19">
        <v>268.39328</v>
      </c>
      <c r="K5" s="18">
        <v>3287.1662400000005</v>
      </c>
      <c r="L5" s="20">
        <v>22439.502240000002</v>
      </c>
      <c r="M5" s="18">
        <v>213.67232000000001</v>
      </c>
      <c r="N5" s="18">
        <v>3211.5992000000001</v>
      </c>
      <c r="O5" s="18">
        <v>8100.0049600000011</v>
      </c>
      <c r="P5" s="19">
        <f t="shared" si="1"/>
        <v>213.67232000000001</v>
      </c>
      <c r="Q5" s="18">
        <f t="shared" si="2"/>
        <v>3211.5992000000001</v>
      </c>
      <c r="R5" s="20">
        <f t="shared" si="3"/>
        <v>8100.0049600000011</v>
      </c>
      <c r="S5" s="108">
        <f t="shared" ref="S5" si="4">(F6-F5)/F5</f>
        <v>-0.66337651971018052</v>
      </c>
      <c r="T5" s="108">
        <f t="shared" ref="T5" si="5">(P6-P5)/P5</f>
        <v>-0.54843191668438851</v>
      </c>
      <c r="U5" s="108">
        <f t="shared" ref="U5" si="6">(Q6-Q5)/Q5</f>
        <v>-0.67416485842940799</v>
      </c>
      <c r="V5" s="109">
        <f t="shared" ref="V5" si="7">(R6-R5)/R5</f>
        <v>-0.67469295969418774</v>
      </c>
      <c r="W5" s="2"/>
    </row>
    <row r="6" spans="1:23" x14ac:dyDescent="0.25">
      <c r="A6" s="128"/>
      <c r="B6" s="91">
        <v>100000000</v>
      </c>
      <c r="C6" s="91">
        <v>1</v>
      </c>
      <c r="D6" s="110"/>
      <c r="E6" s="62" t="s">
        <v>62</v>
      </c>
      <c r="F6" s="17">
        <v>43.857999999999997</v>
      </c>
      <c r="G6" s="19">
        <v>2.62</v>
      </c>
      <c r="H6" s="18">
        <v>24.44</v>
      </c>
      <c r="I6" s="20">
        <v>170.14</v>
      </c>
      <c r="J6" s="19">
        <v>114.90796</v>
      </c>
      <c r="K6" s="18">
        <v>1071.8895199999999</v>
      </c>
      <c r="L6" s="20">
        <v>7462.0001199999988</v>
      </c>
      <c r="M6" s="18">
        <v>96.4876</v>
      </c>
      <c r="N6" s="18">
        <v>1046.4518799999998</v>
      </c>
      <c r="O6" s="18">
        <v>2634.9886399999996</v>
      </c>
      <c r="P6" s="19">
        <f t="shared" si="1"/>
        <v>96.4876</v>
      </c>
      <c r="Q6" s="18">
        <f t="shared" si="2"/>
        <v>1046.4518799999998</v>
      </c>
      <c r="R6" s="20">
        <f t="shared" si="3"/>
        <v>2634.9886399999996</v>
      </c>
      <c r="S6" s="108"/>
      <c r="T6" s="108"/>
      <c r="U6" s="108"/>
      <c r="V6" s="109"/>
      <c r="W6" s="2"/>
    </row>
    <row r="7" spans="1:23" x14ac:dyDescent="0.25">
      <c r="A7" s="128" t="s">
        <v>103</v>
      </c>
      <c r="B7" s="91">
        <v>100000000</v>
      </c>
      <c r="C7" s="91">
        <v>1</v>
      </c>
      <c r="D7" s="124" t="s">
        <v>115</v>
      </c>
      <c r="E7" s="62" t="s">
        <v>59</v>
      </c>
      <c r="F7" s="17">
        <v>20.123000000000001</v>
      </c>
      <c r="G7" s="19">
        <v>5.76</v>
      </c>
      <c r="H7" s="18">
        <v>36.47</v>
      </c>
      <c r="I7" s="20">
        <v>165.68</v>
      </c>
      <c r="J7" s="19">
        <v>115.90848</v>
      </c>
      <c r="K7" s="18">
        <v>733.88580999999999</v>
      </c>
      <c r="L7" s="20">
        <v>3333.9786400000003</v>
      </c>
      <c r="M7" s="18">
        <v>107.45681999999999</v>
      </c>
      <c r="N7" s="18">
        <v>698.87178999999992</v>
      </c>
      <c r="O7" s="18">
        <v>1405.79278</v>
      </c>
      <c r="P7" s="19">
        <f t="shared" si="1"/>
        <v>107.45681999999999</v>
      </c>
      <c r="Q7" s="18">
        <f t="shared" si="2"/>
        <v>698.87178999999992</v>
      </c>
      <c r="R7" s="20">
        <f t="shared" si="3"/>
        <v>1405.79278</v>
      </c>
      <c r="S7" s="108">
        <f t="shared" ref="S7" si="8">(F8-F7)/F7</f>
        <v>-0.29568155841574323</v>
      </c>
      <c r="T7" s="108">
        <f t="shared" ref="T7" si="9">(P8-P7)/P7</f>
        <v>-0.57925546279891771</v>
      </c>
      <c r="U7" s="108">
        <f t="shared" ref="U7" si="10">(Q8-Q7)/Q7</f>
        <v>-0.38389881211259069</v>
      </c>
      <c r="V7" s="109">
        <f t="shared" ref="V7" si="11">(R8-R7)/R7</f>
        <v>-0.32058374207897128</v>
      </c>
      <c r="W7" s="2"/>
    </row>
    <row r="8" spans="1:23" x14ac:dyDescent="0.25">
      <c r="A8" s="128"/>
      <c r="B8" s="91">
        <v>100000000</v>
      </c>
      <c r="C8" s="91">
        <v>1</v>
      </c>
      <c r="D8" s="110"/>
      <c r="E8" s="62" t="s">
        <v>62</v>
      </c>
      <c r="F8" s="17">
        <v>14.173</v>
      </c>
      <c r="G8" s="19">
        <v>3.61</v>
      </c>
      <c r="H8" s="18">
        <v>32.119999999999997</v>
      </c>
      <c r="I8" s="20">
        <v>163.21</v>
      </c>
      <c r="J8" s="19">
        <v>51.164529999999999</v>
      </c>
      <c r="K8" s="18">
        <v>455.23675999999995</v>
      </c>
      <c r="L8" s="20">
        <v>2313.17533</v>
      </c>
      <c r="M8" s="18">
        <v>45.211869999999998</v>
      </c>
      <c r="N8" s="18">
        <v>430.57574</v>
      </c>
      <c r="O8" s="18">
        <v>955.11847</v>
      </c>
      <c r="P8" s="19">
        <f t="shared" si="1"/>
        <v>45.211869999999998</v>
      </c>
      <c r="Q8" s="18">
        <f t="shared" si="2"/>
        <v>430.57574</v>
      </c>
      <c r="R8" s="20">
        <f t="shared" si="3"/>
        <v>955.11847</v>
      </c>
      <c r="S8" s="108"/>
      <c r="T8" s="108"/>
      <c r="U8" s="108"/>
      <c r="V8" s="109"/>
      <c r="W8" s="2"/>
    </row>
    <row r="9" spans="1:23" x14ac:dyDescent="0.25">
      <c r="A9" s="128"/>
      <c r="B9" s="91">
        <v>100000000</v>
      </c>
      <c r="C9" s="91">
        <v>1</v>
      </c>
      <c r="D9" s="110" t="s">
        <v>66</v>
      </c>
      <c r="E9" s="62" t="s">
        <v>59</v>
      </c>
      <c r="F9" s="17">
        <v>19.2</v>
      </c>
      <c r="G9" s="19">
        <v>3.87</v>
      </c>
      <c r="H9" s="18">
        <v>31.22</v>
      </c>
      <c r="I9" s="20">
        <v>161.52000000000001</v>
      </c>
      <c r="J9" s="19">
        <v>74.304000000000002</v>
      </c>
      <c r="K9" s="18">
        <v>599.42399999999998</v>
      </c>
      <c r="L9" s="20">
        <v>3101.1840000000002</v>
      </c>
      <c r="M9" s="18">
        <v>66.239999999999995</v>
      </c>
      <c r="N9" s="18">
        <v>566.01599999999996</v>
      </c>
      <c r="O9" s="18">
        <v>1261.44</v>
      </c>
      <c r="P9" s="19">
        <f t="shared" si="1"/>
        <v>66.239999999999995</v>
      </c>
      <c r="Q9" s="18">
        <f t="shared" si="2"/>
        <v>566.01599999999996</v>
      </c>
      <c r="R9" s="20">
        <f t="shared" si="3"/>
        <v>1261.44</v>
      </c>
      <c r="S9" s="108">
        <f t="shared" ref="S9" si="12">(F10-F9)/F9</f>
        <v>-0.40328124999999992</v>
      </c>
      <c r="T9" s="108">
        <f t="shared" ref="T9" si="13">(P10-P9)/P9</f>
        <v>-0.44652173913043464</v>
      </c>
      <c r="U9" s="108">
        <f t="shared" ref="U9" si="14">(Q10-Q9)/Q9</f>
        <v>-0.42696377840909089</v>
      </c>
      <c r="V9" s="109">
        <f t="shared" ref="V9" si="15">(R10-R9)/R9</f>
        <v>-0.42716816495433785</v>
      </c>
      <c r="W9" s="2"/>
    </row>
    <row r="10" spans="1:23" x14ac:dyDescent="0.25">
      <c r="A10" s="128"/>
      <c r="B10" s="91">
        <v>100000000</v>
      </c>
      <c r="C10" s="91">
        <v>1</v>
      </c>
      <c r="D10" s="110"/>
      <c r="E10" s="62" t="s">
        <v>62</v>
      </c>
      <c r="F10" s="17">
        <v>11.457000000000001</v>
      </c>
      <c r="G10" s="19">
        <v>3.62</v>
      </c>
      <c r="H10" s="18">
        <v>30.05</v>
      </c>
      <c r="I10" s="20">
        <v>158.88999999999999</v>
      </c>
      <c r="J10" s="19">
        <v>41.474340000000005</v>
      </c>
      <c r="K10" s="18">
        <v>344.28285000000005</v>
      </c>
      <c r="L10" s="20">
        <v>1820.40273</v>
      </c>
      <c r="M10" s="18">
        <v>36.662400000000005</v>
      </c>
      <c r="N10" s="18">
        <v>324.34766999999999</v>
      </c>
      <c r="O10" s="18">
        <v>722.5929900000001</v>
      </c>
      <c r="P10" s="19">
        <f t="shared" si="1"/>
        <v>36.662400000000005</v>
      </c>
      <c r="Q10" s="18">
        <f t="shared" si="2"/>
        <v>324.34766999999999</v>
      </c>
      <c r="R10" s="20">
        <f t="shared" si="3"/>
        <v>722.5929900000001</v>
      </c>
      <c r="S10" s="108"/>
      <c r="T10" s="108"/>
      <c r="U10" s="108"/>
      <c r="V10" s="109"/>
      <c r="W10" s="2"/>
    </row>
    <row r="11" spans="1:23" x14ac:dyDescent="0.25">
      <c r="A11" s="128" t="s">
        <v>105</v>
      </c>
      <c r="B11" s="91">
        <v>100000000</v>
      </c>
      <c r="C11" s="91">
        <v>1</v>
      </c>
      <c r="D11" s="124" t="s">
        <v>115</v>
      </c>
      <c r="E11" s="62" t="s">
        <v>59</v>
      </c>
      <c r="F11" s="17">
        <v>24.571999999999999</v>
      </c>
      <c r="G11" s="19">
        <v>5.87</v>
      </c>
      <c r="H11" s="18">
        <v>32.43</v>
      </c>
      <c r="I11" s="20">
        <v>156.43</v>
      </c>
      <c r="J11" s="19">
        <v>144.23764</v>
      </c>
      <c r="K11" s="18">
        <v>796.86995999999999</v>
      </c>
      <c r="L11" s="20">
        <v>3843.7979599999999</v>
      </c>
      <c r="M11" s="18">
        <v>102.95668000000001</v>
      </c>
      <c r="N11" s="18">
        <v>711.11368000000004</v>
      </c>
      <c r="O11" s="18">
        <v>1393.7238399999999</v>
      </c>
      <c r="P11" s="19">
        <f t="shared" si="1"/>
        <v>102.95668000000001</v>
      </c>
      <c r="Q11" s="18">
        <f t="shared" si="2"/>
        <v>711.11368000000004</v>
      </c>
      <c r="R11" s="20">
        <f t="shared" si="3"/>
        <v>1393.7238399999999</v>
      </c>
      <c r="S11" s="108">
        <f t="shared" ref="S11" si="16">(F12-F11)/F11</f>
        <v>-0.71129741168810023</v>
      </c>
      <c r="T11" s="108">
        <f t="shared" ref="T11" si="17">(P12-P11)/P11</f>
        <v>-0.7140535223163762</v>
      </c>
      <c r="U11" s="108">
        <f t="shared" ref="U11" si="18">(Q12-Q11)/Q11</f>
        <v>-0.71578656734602542</v>
      </c>
      <c r="V11" s="109">
        <f t="shared" ref="V11" si="19">(R12-R11)/R11</f>
        <v>-0.70722544288257272</v>
      </c>
      <c r="W11" s="2"/>
    </row>
    <row r="12" spans="1:23" x14ac:dyDescent="0.25">
      <c r="A12" s="128"/>
      <c r="B12" s="91">
        <v>100000000</v>
      </c>
      <c r="C12" s="91">
        <v>1</v>
      </c>
      <c r="D12" s="110"/>
      <c r="E12" s="62" t="s">
        <v>62</v>
      </c>
      <c r="F12" s="17">
        <v>7.0940000000000003</v>
      </c>
      <c r="G12" s="19">
        <v>5.83</v>
      </c>
      <c r="H12" s="18">
        <v>31.98</v>
      </c>
      <c r="I12" s="20">
        <v>157.22999999999999</v>
      </c>
      <c r="J12" s="19">
        <v>41.358020000000003</v>
      </c>
      <c r="K12" s="18">
        <v>226.86612000000002</v>
      </c>
      <c r="L12" s="20">
        <v>1115.3896199999999</v>
      </c>
      <c r="M12" s="18">
        <v>29.440100000000005</v>
      </c>
      <c r="N12" s="18">
        <v>202.10805999999999</v>
      </c>
      <c r="O12" s="18">
        <v>408.04688000000004</v>
      </c>
      <c r="P12" s="19">
        <f t="shared" si="1"/>
        <v>29.440100000000005</v>
      </c>
      <c r="Q12" s="18">
        <f t="shared" si="2"/>
        <v>202.10805999999999</v>
      </c>
      <c r="R12" s="20">
        <f t="shared" si="3"/>
        <v>408.04688000000004</v>
      </c>
      <c r="S12" s="108"/>
      <c r="T12" s="108"/>
      <c r="U12" s="108"/>
      <c r="V12" s="109"/>
      <c r="W12" s="2"/>
    </row>
    <row r="13" spans="1:23" x14ac:dyDescent="0.25">
      <c r="A13" s="128"/>
      <c r="B13" s="91">
        <v>100000000</v>
      </c>
      <c r="C13" s="91">
        <v>1</v>
      </c>
      <c r="D13" s="110" t="s">
        <v>66</v>
      </c>
      <c r="E13" s="62" t="s">
        <v>59</v>
      </c>
      <c r="F13" s="17">
        <v>18.324999999999999</v>
      </c>
      <c r="G13" s="19">
        <v>5.85</v>
      </c>
      <c r="H13" s="18">
        <v>31.82</v>
      </c>
      <c r="I13" s="20">
        <v>155.79</v>
      </c>
      <c r="J13" s="19">
        <v>107.20124999999999</v>
      </c>
      <c r="K13" s="18">
        <v>583.10149999999999</v>
      </c>
      <c r="L13" s="20">
        <v>2854.8517499999998</v>
      </c>
      <c r="M13" s="18">
        <v>76.41525</v>
      </c>
      <c r="N13" s="18">
        <v>519.14724999999999</v>
      </c>
      <c r="O13" s="18">
        <v>1027.6659999999999</v>
      </c>
      <c r="P13" s="19">
        <f t="shared" si="1"/>
        <v>76.41525</v>
      </c>
      <c r="Q13" s="18">
        <f t="shared" si="2"/>
        <v>519.14724999999999</v>
      </c>
      <c r="R13" s="20">
        <f t="shared" si="3"/>
        <v>1027.6659999999999</v>
      </c>
      <c r="S13" s="108">
        <f t="shared" ref="S13" si="20">(F14-F13)/F13</f>
        <v>-0.57746248294679392</v>
      </c>
      <c r="T13" s="108">
        <f t="shared" ref="T13" si="21">(P14-P13)/P13</f>
        <v>-0.5825288800337628</v>
      </c>
      <c r="U13" s="108">
        <f t="shared" ref="U13" si="22">(Q14-Q13)/Q13</f>
        <v>-0.55687999888278328</v>
      </c>
      <c r="V13" s="109">
        <f t="shared" ref="V13" si="23">(R14-R13)/R13</f>
        <v>-0.53541969861803351</v>
      </c>
      <c r="W13" s="2"/>
    </row>
    <row r="14" spans="1:23" x14ac:dyDescent="0.25">
      <c r="A14" s="128"/>
      <c r="B14" s="91">
        <v>100000000</v>
      </c>
      <c r="C14" s="91">
        <v>1</v>
      </c>
      <c r="D14" s="110"/>
      <c r="E14" s="62" t="s">
        <v>62</v>
      </c>
      <c r="F14" s="17">
        <v>7.7430000000000003</v>
      </c>
      <c r="G14" s="19">
        <v>5.8</v>
      </c>
      <c r="H14" s="18">
        <v>33.200000000000003</v>
      </c>
      <c r="I14" s="20">
        <v>161.37</v>
      </c>
      <c r="J14" s="19">
        <v>44.909399999999998</v>
      </c>
      <c r="K14" s="18">
        <v>257.06760000000003</v>
      </c>
      <c r="L14" s="20">
        <v>1249.4879100000001</v>
      </c>
      <c r="M14" s="18">
        <v>31.901160000000001</v>
      </c>
      <c r="N14" s="18">
        <v>230.04453000000001</v>
      </c>
      <c r="O14" s="18">
        <v>477.43338</v>
      </c>
      <c r="P14" s="19">
        <f t="shared" si="1"/>
        <v>31.901160000000001</v>
      </c>
      <c r="Q14" s="18">
        <f t="shared" si="2"/>
        <v>230.04453000000001</v>
      </c>
      <c r="R14" s="20">
        <f t="shared" si="3"/>
        <v>477.43338</v>
      </c>
      <c r="S14" s="108"/>
      <c r="T14" s="108"/>
      <c r="U14" s="108"/>
      <c r="V14" s="109"/>
      <c r="W14" s="2"/>
    </row>
    <row r="15" spans="1:23" x14ac:dyDescent="0.25">
      <c r="A15" s="128" t="s">
        <v>104</v>
      </c>
      <c r="B15" s="91">
        <v>100000000</v>
      </c>
      <c r="C15" s="91">
        <v>1</v>
      </c>
      <c r="D15" s="124" t="s">
        <v>115</v>
      </c>
      <c r="E15" s="62" t="s">
        <v>59</v>
      </c>
      <c r="F15" s="17">
        <v>5.617</v>
      </c>
      <c r="G15" s="19">
        <v>5.61</v>
      </c>
      <c r="H15" s="18">
        <v>32.369999999999997</v>
      </c>
      <c r="I15" s="20">
        <v>158.01</v>
      </c>
      <c r="J15" s="19">
        <v>31.511370000000003</v>
      </c>
      <c r="K15" s="18">
        <v>181.82228999999998</v>
      </c>
      <c r="L15" s="20">
        <v>887.54216999999994</v>
      </c>
      <c r="M15" s="18">
        <v>24.939480000000003</v>
      </c>
      <c r="N15" s="18">
        <v>165.47682</v>
      </c>
      <c r="O15" s="18">
        <v>348.36634000000004</v>
      </c>
      <c r="P15" s="19">
        <f t="shared" si="1"/>
        <v>24.939480000000003</v>
      </c>
      <c r="Q15" s="18">
        <f t="shared" si="2"/>
        <v>165.47682</v>
      </c>
      <c r="R15" s="20">
        <f t="shared" si="3"/>
        <v>348.36634000000004</v>
      </c>
      <c r="S15" s="108">
        <f t="shared" ref="S15" si="24">(F16-F15)/F15</f>
        <v>-0.22485312444365319</v>
      </c>
      <c r="T15" s="108">
        <f t="shared" ref="T15" si="25">(P16-P15)/P15</f>
        <v>-0.16549503036951863</v>
      </c>
      <c r="U15" s="108">
        <f t="shared" ref="U15" si="26">(Q16-Q15)/Q15</f>
        <v>-0.2661627169291747</v>
      </c>
      <c r="V15" s="109">
        <f t="shared" ref="V15" si="27">(R16-R15)/R15</f>
        <v>-0.23922621226838395</v>
      </c>
      <c r="W15" s="2"/>
    </row>
    <row r="16" spans="1:23" x14ac:dyDescent="0.25">
      <c r="A16" s="128"/>
      <c r="B16" s="91">
        <v>100000000</v>
      </c>
      <c r="C16" s="91">
        <v>1</v>
      </c>
      <c r="D16" s="110"/>
      <c r="E16" s="62" t="s">
        <v>62</v>
      </c>
      <c r="F16" s="17">
        <v>4.3540000000000001</v>
      </c>
      <c r="G16" s="19">
        <v>5.95</v>
      </c>
      <c r="H16" s="18">
        <v>30.8</v>
      </c>
      <c r="I16" s="20">
        <v>156.86000000000001</v>
      </c>
      <c r="J16" s="19">
        <v>25.906300000000002</v>
      </c>
      <c r="K16" s="18">
        <v>134.10320000000002</v>
      </c>
      <c r="L16" s="20">
        <v>682.9684400000001</v>
      </c>
      <c r="M16" s="18">
        <v>20.81212</v>
      </c>
      <c r="N16" s="18">
        <v>121.43306000000001</v>
      </c>
      <c r="O16" s="18">
        <v>265.02798000000001</v>
      </c>
      <c r="P16" s="19">
        <f t="shared" si="1"/>
        <v>20.81212</v>
      </c>
      <c r="Q16" s="18">
        <f t="shared" si="2"/>
        <v>121.43306000000001</v>
      </c>
      <c r="R16" s="20">
        <f t="shared" si="3"/>
        <v>265.02798000000001</v>
      </c>
      <c r="S16" s="108"/>
      <c r="T16" s="108"/>
      <c r="U16" s="108"/>
      <c r="V16" s="109"/>
      <c r="W16" s="2"/>
    </row>
    <row r="17" spans="1:23" x14ac:dyDescent="0.25">
      <c r="A17" s="128"/>
      <c r="B17" s="91">
        <v>100000000</v>
      </c>
      <c r="C17" s="91">
        <v>1</v>
      </c>
      <c r="D17" s="110" t="s">
        <v>66</v>
      </c>
      <c r="E17" s="62" t="s">
        <v>59</v>
      </c>
      <c r="F17" s="17">
        <v>2.6160000000000001</v>
      </c>
      <c r="G17" s="19">
        <v>5.76</v>
      </c>
      <c r="H17" s="18">
        <v>29.78</v>
      </c>
      <c r="I17" s="20">
        <v>156.38</v>
      </c>
      <c r="J17" s="19">
        <v>15.068160000000001</v>
      </c>
      <c r="K17" s="18">
        <v>77.904480000000007</v>
      </c>
      <c r="L17" s="20">
        <v>409.09008</v>
      </c>
      <c r="M17" s="18">
        <v>12.007440000000001</v>
      </c>
      <c r="N17" s="18">
        <v>70.291920000000005</v>
      </c>
      <c r="O17" s="18">
        <v>157.98024000000001</v>
      </c>
      <c r="P17" s="19">
        <f t="shared" si="1"/>
        <v>12.007440000000001</v>
      </c>
      <c r="Q17" s="18">
        <f t="shared" si="2"/>
        <v>70.291920000000005</v>
      </c>
      <c r="R17" s="20">
        <f t="shared" si="3"/>
        <v>157.98024000000001</v>
      </c>
      <c r="S17" s="108">
        <f t="shared" ref="S17" si="28">(F18-F17)/F17</f>
        <v>-0.1968654434250765</v>
      </c>
      <c r="T17" s="108">
        <f t="shared" ref="T17" si="29">(P18-P17)/P17</f>
        <v>-0.18636695248945656</v>
      </c>
      <c r="U17" s="108">
        <f t="shared" ref="U17" si="30">(Q18-Q17)/Q17</f>
        <v>-0.23990652126161877</v>
      </c>
      <c r="V17" s="109">
        <f t="shared" ref="V17" si="31">(R18-R17)/R17</f>
        <v>-0.19141279947416218</v>
      </c>
      <c r="W17" s="2"/>
    </row>
    <row r="18" spans="1:23" x14ac:dyDescent="0.25">
      <c r="A18" s="128"/>
      <c r="B18" s="91">
        <v>100000000</v>
      </c>
      <c r="C18" s="91">
        <v>1</v>
      </c>
      <c r="D18" s="110"/>
      <c r="E18" s="62" t="s">
        <v>62</v>
      </c>
      <c r="F18" s="17">
        <v>2.101</v>
      </c>
      <c r="G18" s="19">
        <v>5.82</v>
      </c>
      <c r="H18" s="18">
        <v>28.34</v>
      </c>
      <c r="I18" s="20">
        <v>156.79</v>
      </c>
      <c r="J18" s="19">
        <v>12.227820000000001</v>
      </c>
      <c r="K18" s="18">
        <v>59.542339999999996</v>
      </c>
      <c r="L18" s="20">
        <v>329.41578999999996</v>
      </c>
      <c r="M18" s="18">
        <v>9.7696500000000004</v>
      </c>
      <c r="N18" s="18">
        <v>53.428429999999999</v>
      </c>
      <c r="O18" s="18">
        <v>127.74079999999999</v>
      </c>
      <c r="P18" s="19">
        <f t="shared" si="1"/>
        <v>9.7696500000000004</v>
      </c>
      <c r="Q18" s="18">
        <f t="shared" si="2"/>
        <v>53.428429999999999</v>
      </c>
      <c r="R18" s="20">
        <f t="shared" si="3"/>
        <v>127.74079999999999</v>
      </c>
      <c r="S18" s="108"/>
      <c r="T18" s="108"/>
      <c r="U18" s="108"/>
      <c r="V18" s="109"/>
      <c r="W18" s="2"/>
    </row>
    <row r="19" spans="1:23" x14ac:dyDescent="0.25">
      <c r="A19" s="128" t="s">
        <v>1</v>
      </c>
      <c r="B19" s="91">
        <v>100000000</v>
      </c>
      <c r="C19" s="91">
        <v>1</v>
      </c>
      <c r="D19" s="124" t="s">
        <v>115</v>
      </c>
      <c r="E19" s="62" t="s">
        <v>59</v>
      </c>
      <c r="F19" s="17">
        <v>23.135000000000002</v>
      </c>
      <c r="G19" s="19">
        <v>3.54</v>
      </c>
      <c r="H19" s="18">
        <v>33.31</v>
      </c>
      <c r="I19" s="20">
        <v>165.39</v>
      </c>
      <c r="J19" s="19">
        <v>81.897900000000007</v>
      </c>
      <c r="K19" s="18">
        <v>770.6268500000001</v>
      </c>
      <c r="L19" s="20">
        <v>3826.29765</v>
      </c>
      <c r="M19" s="18">
        <v>72.181200000000004</v>
      </c>
      <c r="N19" s="18">
        <v>730.37195000000008</v>
      </c>
      <c r="O19" s="18">
        <v>1596.3150000000001</v>
      </c>
      <c r="P19" s="19">
        <f t="shared" si="1"/>
        <v>72.181200000000004</v>
      </c>
      <c r="Q19" s="18">
        <f t="shared" si="2"/>
        <v>730.37195000000008</v>
      </c>
      <c r="R19" s="20">
        <f t="shared" si="3"/>
        <v>1596.3150000000001</v>
      </c>
      <c r="S19" s="108">
        <f t="shared" ref="S19" si="32">(F20-F19)/F19</f>
        <v>-0.51082775016209214</v>
      </c>
      <c r="T19" s="108">
        <f t="shared" ref="T19" si="33">(P20-P19)/P19</f>
        <v>-0.50298845128648462</v>
      </c>
      <c r="U19" s="108">
        <f t="shared" ref="U19" si="34">(Q20-Q19)/Q19</f>
        <v>-0.5367041409517439</v>
      </c>
      <c r="V19" s="109">
        <f t="shared" ref="V19" si="35">(R20-R19)/R19</f>
        <v>-0.54492801859282158</v>
      </c>
      <c r="W19" s="2"/>
    </row>
    <row r="20" spans="1:23" x14ac:dyDescent="0.25">
      <c r="A20" s="128"/>
      <c r="B20" s="91">
        <v>100000000</v>
      </c>
      <c r="C20" s="91">
        <v>1</v>
      </c>
      <c r="D20" s="110"/>
      <c r="E20" s="62" t="s">
        <v>62</v>
      </c>
      <c r="F20" s="17">
        <v>11.317</v>
      </c>
      <c r="G20" s="19">
        <v>3.59</v>
      </c>
      <c r="H20" s="18">
        <v>31.64</v>
      </c>
      <c r="I20" s="20">
        <v>160.58000000000001</v>
      </c>
      <c r="J20" s="19">
        <v>40.628030000000003</v>
      </c>
      <c r="K20" s="18">
        <v>358.06988000000001</v>
      </c>
      <c r="L20" s="20">
        <v>1817.2838600000002</v>
      </c>
      <c r="M20" s="18">
        <v>35.874890000000001</v>
      </c>
      <c r="N20" s="18">
        <v>338.37829999999997</v>
      </c>
      <c r="O20" s="18">
        <v>726.43822999999998</v>
      </c>
      <c r="P20" s="19">
        <f t="shared" si="1"/>
        <v>35.874890000000001</v>
      </c>
      <c r="Q20" s="18">
        <f t="shared" si="2"/>
        <v>338.37829999999997</v>
      </c>
      <c r="R20" s="20">
        <f t="shared" si="3"/>
        <v>726.43822999999998</v>
      </c>
      <c r="S20" s="108"/>
      <c r="T20" s="108"/>
      <c r="U20" s="108"/>
      <c r="V20" s="109"/>
      <c r="W20" s="2"/>
    </row>
    <row r="21" spans="1:23" x14ac:dyDescent="0.25">
      <c r="A21" s="128"/>
      <c r="B21" s="91">
        <v>100000000</v>
      </c>
      <c r="C21" s="91">
        <v>1</v>
      </c>
      <c r="D21" s="110" t="s">
        <v>66</v>
      </c>
      <c r="E21" s="62" t="s">
        <v>59</v>
      </c>
      <c r="F21" s="17">
        <v>12.807</v>
      </c>
      <c r="G21" s="19">
        <v>3.54</v>
      </c>
      <c r="H21" s="18">
        <v>32.14</v>
      </c>
      <c r="I21" s="20">
        <v>162.07</v>
      </c>
      <c r="J21" s="19">
        <v>45.336780000000005</v>
      </c>
      <c r="K21" s="18">
        <v>411.61698000000001</v>
      </c>
      <c r="L21" s="20">
        <v>2075.63049</v>
      </c>
      <c r="M21" s="18">
        <v>39.957840000000004</v>
      </c>
      <c r="N21" s="18">
        <v>389.33280000000002</v>
      </c>
      <c r="O21" s="18">
        <v>841.16376000000014</v>
      </c>
      <c r="P21" s="19">
        <f t="shared" si="1"/>
        <v>39.957840000000004</v>
      </c>
      <c r="Q21" s="18">
        <f t="shared" si="2"/>
        <v>389.33280000000002</v>
      </c>
      <c r="R21" s="20">
        <f t="shared" si="3"/>
        <v>841.16376000000014</v>
      </c>
      <c r="S21" s="108">
        <f t="shared" ref="S21" si="36">(F22-F21)/F21</f>
        <v>-0.63207620832357303</v>
      </c>
      <c r="T21" s="108">
        <f t="shared" ref="T21" si="37">(P22-P21)/P21</f>
        <v>-0.61320832157093585</v>
      </c>
      <c r="U21" s="108">
        <f t="shared" ref="U21" si="38">(Q22-Q21)/Q21</f>
        <v>-0.69041149371437494</v>
      </c>
      <c r="V21" s="109">
        <f t="shared" ref="V21" si="39">(R22-R21)/R21</f>
        <v>-0.68831790851284413</v>
      </c>
      <c r="W21" s="2"/>
    </row>
    <row r="22" spans="1:23" x14ac:dyDescent="0.25">
      <c r="A22" s="128"/>
      <c r="B22" s="91">
        <v>100000000</v>
      </c>
      <c r="C22" s="91">
        <v>1</v>
      </c>
      <c r="D22" s="110"/>
      <c r="E22" s="62" t="s">
        <v>62</v>
      </c>
      <c r="F22" s="17">
        <v>4.7119999999999997</v>
      </c>
      <c r="G22" s="19">
        <v>3.7</v>
      </c>
      <c r="H22" s="18">
        <v>27.32</v>
      </c>
      <c r="I22" s="20">
        <v>152.03</v>
      </c>
      <c r="J22" s="19">
        <v>17.4344</v>
      </c>
      <c r="K22" s="18">
        <v>128.73184000000001</v>
      </c>
      <c r="L22" s="20">
        <v>716.36536000000001</v>
      </c>
      <c r="M22" s="18">
        <v>15.455359999999999</v>
      </c>
      <c r="N22" s="18">
        <v>120.53295999999999</v>
      </c>
      <c r="O22" s="18">
        <v>262.17568</v>
      </c>
      <c r="P22" s="19">
        <f t="shared" si="1"/>
        <v>15.455359999999999</v>
      </c>
      <c r="Q22" s="18">
        <f t="shared" si="2"/>
        <v>120.53295999999999</v>
      </c>
      <c r="R22" s="20">
        <f t="shared" si="3"/>
        <v>262.17568</v>
      </c>
      <c r="S22" s="108"/>
      <c r="T22" s="108"/>
      <c r="U22" s="108"/>
      <c r="V22" s="109"/>
      <c r="W22" s="2"/>
    </row>
    <row r="23" spans="1:23" x14ac:dyDescent="0.25">
      <c r="A23" s="128" t="s">
        <v>2</v>
      </c>
      <c r="B23" s="91">
        <v>100000000</v>
      </c>
      <c r="C23" s="91">
        <v>1</v>
      </c>
      <c r="D23" s="124" t="s">
        <v>115</v>
      </c>
      <c r="E23" s="62" t="s">
        <v>59</v>
      </c>
      <c r="F23" s="17">
        <v>42.316000000000003</v>
      </c>
      <c r="G23" s="19">
        <v>8.26</v>
      </c>
      <c r="H23" s="18">
        <v>37.700000000000003</v>
      </c>
      <c r="I23" s="20">
        <v>163.63</v>
      </c>
      <c r="J23" s="19">
        <v>349.53016000000002</v>
      </c>
      <c r="K23" s="18">
        <v>1595.3132000000003</v>
      </c>
      <c r="L23" s="20">
        <v>6924.1670800000002</v>
      </c>
      <c r="M23" s="18">
        <v>218.77372</v>
      </c>
      <c r="N23" s="18">
        <v>1349.4572400000002</v>
      </c>
      <c r="O23" s="18">
        <v>2697.645</v>
      </c>
      <c r="P23" s="19">
        <f t="shared" si="1"/>
        <v>218.77372</v>
      </c>
      <c r="Q23" s="18">
        <f t="shared" si="2"/>
        <v>1349.4572400000002</v>
      </c>
      <c r="R23" s="20">
        <f t="shared" si="3"/>
        <v>2697.645</v>
      </c>
      <c r="S23" s="108">
        <f t="shared" ref="S23" si="40">(F24-F23)/F23</f>
        <v>-0.33084412515360628</v>
      </c>
      <c r="T23" s="108">
        <f t="shared" ref="T23" si="41">(P24-P23)/P23</f>
        <v>-0.36190745396659169</v>
      </c>
      <c r="U23" s="108">
        <f t="shared" ref="U23" si="42">(Q24-Q23)/Q23</f>
        <v>-0.34112591815061893</v>
      </c>
      <c r="V23" s="109">
        <f t="shared" ref="V23" si="43">(R24-R23)/R23</f>
        <v>-0.32034756241091766</v>
      </c>
      <c r="W23" s="2"/>
    </row>
    <row r="24" spans="1:23" x14ac:dyDescent="0.25">
      <c r="A24" s="128"/>
      <c r="B24" s="91">
        <v>100000000</v>
      </c>
      <c r="C24" s="91">
        <v>1</v>
      </c>
      <c r="D24" s="110"/>
      <c r="E24" s="62" t="s">
        <v>62</v>
      </c>
      <c r="F24" s="17">
        <v>28.315999999999999</v>
      </c>
      <c r="G24" s="19">
        <v>8.02</v>
      </c>
      <c r="H24" s="18">
        <v>37.21</v>
      </c>
      <c r="I24" s="20">
        <v>164.63</v>
      </c>
      <c r="J24" s="19">
        <v>227.09431999999998</v>
      </c>
      <c r="K24" s="18">
        <v>1053.6383599999999</v>
      </c>
      <c r="L24" s="20">
        <v>4661.6630799999994</v>
      </c>
      <c r="M24" s="18">
        <v>139.59787999999998</v>
      </c>
      <c r="N24" s="18">
        <v>889.12239999999997</v>
      </c>
      <c r="O24" s="18">
        <v>1833.461</v>
      </c>
      <c r="P24" s="19">
        <f t="shared" si="1"/>
        <v>139.59787999999998</v>
      </c>
      <c r="Q24" s="18">
        <f t="shared" si="2"/>
        <v>889.12239999999997</v>
      </c>
      <c r="R24" s="20">
        <f t="shared" si="3"/>
        <v>1833.461</v>
      </c>
      <c r="S24" s="108"/>
      <c r="T24" s="108"/>
      <c r="U24" s="108"/>
      <c r="V24" s="109"/>
      <c r="W24" s="2"/>
    </row>
    <row r="25" spans="1:23" x14ac:dyDescent="0.25">
      <c r="A25" s="128"/>
      <c r="B25" s="91">
        <v>100000000</v>
      </c>
      <c r="C25" s="91">
        <v>1</v>
      </c>
      <c r="D25" s="110" t="s">
        <v>66</v>
      </c>
      <c r="E25" s="62" t="s">
        <v>59</v>
      </c>
      <c r="F25" s="17">
        <v>27.997</v>
      </c>
      <c r="G25" s="19">
        <v>8.1300000000000008</v>
      </c>
      <c r="H25" s="18">
        <v>36.200000000000003</v>
      </c>
      <c r="I25" s="20">
        <v>157.68</v>
      </c>
      <c r="J25" s="19">
        <v>227.61561000000003</v>
      </c>
      <c r="K25" s="18">
        <v>1013.4914000000001</v>
      </c>
      <c r="L25" s="20">
        <v>4414.5669600000001</v>
      </c>
      <c r="M25" s="18">
        <v>141.10488000000001</v>
      </c>
      <c r="N25" s="18">
        <v>850.82883000000004</v>
      </c>
      <c r="O25" s="18">
        <v>1618.2266</v>
      </c>
      <c r="P25" s="19">
        <f t="shared" si="1"/>
        <v>141.10488000000001</v>
      </c>
      <c r="Q25" s="18">
        <f t="shared" si="2"/>
        <v>850.82883000000004</v>
      </c>
      <c r="R25" s="20">
        <f t="shared" si="3"/>
        <v>1618.2266</v>
      </c>
      <c r="S25" s="108">
        <f t="shared" ref="S25" si="44">(F26-F25)/F25</f>
        <v>-9.1188341608029466E-2</v>
      </c>
      <c r="T25" s="108">
        <f t="shared" ref="T25" si="45">(P26-P25)/P25</f>
        <v>-0.14528427365517055</v>
      </c>
      <c r="U25" s="108">
        <f t="shared" ref="U25" si="46">(Q26-Q25)/Q25</f>
        <v>-9.6272184382844822E-2</v>
      </c>
      <c r="V25" s="109">
        <f t="shared" ref="V25" si="47">(R26-R25)/R25</f>
        <v>7.123422640562195E-2</v>
      </c>
      <c r="W25" s="2"/>
    </row>
    <row r="26" spans="1:23" x14ac:dyDescent="0.25">
      <c r="A26" s="128"/>
      <c r="B26" s="91">
        <v>100000000</v>
      </c>
      <c r="C26" s="91">
        <v>1</v>
      </c>
      <c r="D26" s="110"/>
      <c r="E26" s="62" t="s">
        <v>62</v>
      </c>
      <c r="F26" s="17">
        <v>25.443999999999999</v>
      </c>
      <c r="G26" s="19">
        <v>7.83</v>
      </c>
      <c r="H26" s="18">
        <v>36.03</v>
      </c>
      <c r="I26" s="20">
        <v>168.01</v>
      </c>
      <c r="J26" s="19">
        <v>199.22651999999999</v>
      </c>
      <c r="K26" s="18">
        <v>916.74731999999995</v>
      </c>
      <c r="L26" s="20">
        <v>4274.8464399999993</v>
      </c>
      <c r="M26" s="18">
        <v>120.60456000000001</v>
      </c>
      <c r="N26" s="18">
        <v>768.9176799999999</v>
      </c>
      <c r="O26" s="18">
        <v>1733.4997199999998</v>
      </c>
      <c r="P26" s="19">
        <f t="shared" si="1"/>
        <v>120.60456000000001</v>
      </c>
      <c r="Q26" s="18">
        <f t="shared" si="2"/>
        <v>768.9176799999999</v>
      </c>
      <c r="R26" s="20">
        <f t="shared" si="3"/>
        <v>1733.4997199999998</v>
      </c>
      <c r="S26" s="108"/>
      <c r="T26" s="108"/>
      <c r="U26" s="108"/>
      <c r="V26" s="109"/>
      <c r="W26" s="2"/>
    </row>
    <row r="27" spans="1:23" x14ac:dyDescent="0.25">
      <c r="A27" s="128" t="s">
        <v>3</v>
      </c>
      <c r="B27" s="91">
        <v>100000000</v>
      </c>
      <c r="C27" s="91">
        <v>1</v>
      </c>
      <c r="D27" s="124" t="s">
        <v>115</v>
      </c>
      <c r="E27" s="62" t="s">
        <v>59</v>
      </c>
      <c r="F27" s="17">
        <v>9.58</v>
      </c>
      <c r="G27" s="19">
        <v>9.41</v>
      </c>
      <c r="H27" s="18">
        <v>36.26</v>
      </c>
      <c r="I27" s="20">
        <v>156.63999999999999</v>
      </c>
      <c r="J27" s="19">
        <v>90.147800000000004</v>
      </c>
      <c r="K27" s="18">
        <v>347.37079999999997</v>
      </c>
      <c r="L27" s="20">
        <v>1500.6111999999998</v>
      </c>
      <c r="M27" s="18">
        <v>39.757000000000005</v>
      </c>
      <c r="N27" s="18">
        <v>258.27680000000004</v>
      </c>
      <c r="O27" s="18">
        <v>549.22140000000002</v>
      </c>
      <c r="P27" s="19">
        <f t="shared" si="1"/>
        <v>39.757000000000005</v>
      </c>
      <c r="Q27" s="18">
        <f t="shared" si="2"/>
        <v>258.27680000000004</v>
      </c>
      <c r="R27" s="20">
        <f t="shared" si="3"/>
        <v>549.22140000000002</v>
      </c>
      <c r="S27" s="108">
        <f t="shared" ref="S27" si="48">(F28-F27)/F27</f>
        <v>-0.19906054279749477</v>
      </c>
      <c r="T27" s="108">
        <f t="shared" ref="T27" si="49">(P28-P27)/P27</f>
        <v>-0.17590084764947073</v>
      </c>
      <c r="U27" s="108">
        <f t="shared" ref="U27" si="50">(Q28-Q27)/Q27</f>
        <v>-0.21302350811222703</v>
      </c>
      <c r="V27" s="109">
        <f t="shared" ref="V27" si="51">(R28-R27)/R27</f>
        <v>-0.19626640549694538</v>
      </c>
      <c r="W27" s="2"/>
    </row>
    <row r="28" spans="1:23" x14ac:dyDescent="0.25">
      <c r="A28" s="128"/>
      <c r="B28" s="91">
        <v>100000000</v>
      </c>
      <c r="C28" s="91">
        <v>1</v>
      </c>
      <c r="D28" s="110"/>
      <c r="E28" s="62" t="s">
        <v>62</v>
      </c>
      <c r="F28" s="17">
        <v>7.673</v>
      </c>
      <c r="G28" s="19">
        <v>9.5299999999999994</v>
      </c>
      <c r="H28" s="18">
        <v>35.79</v>
      </c>
      <c r="I28" s="20">
        <v>156.84</v>
      </c>
      <c r="J28" s="19">
        <v>73.123689999999996</v>
      </c>
      <c r="K28" s="18">
        <v>274.61667</v>
      </c>
      <c r="L28" s="20">
        <v>1203.4333200000001</v>
      </c>
      <c r="M28" s="18">
        <v>32.763709999999996</v>
      </c>
      <c r="N28" s="18">
        <v>203.25776999999999</v>
      </c>
      <c r="O28" s="18">
        <v>441.42768999999998</v>
      </c>
      <c r="P28" s="19">
        <f t="shared" si="1"/>
        <v>32.763709999999996</v>
      </c>
      <c r="Q28" s="18">
        <f t="shared" si="2"/>
        <v>203.25776999999999</v>
      </c>
      <c r="R28" s="20">
        <f t="shared" si="3"/>
        <v>441.42768999999998</v>
      </c>
      <c r="S28" s="108"/>
      <c r="T28" s="108"/>
      <c r="U28" s="108"/>
      <c r="V28" s="109"/>
      <c r="W28" s="2"/>
    </row>
    <row r="29" spans="1:23" x14ac:dyDescent="0.25">
      <c r="A29" s="128"/>
      <c r="B29" s="91">
        <v>100000000</v>
      </c>
      <c r="C29" s="91">
        <v>1</v>
      </c>
      <c r="D29" s="110" t="s">
        <v>66</v>
      </c>
      <c r="E29" s="62" t="s">
        <v>59</v>
      </c>
      <c r="F29" s="17">
        <v>5.1120000000000001</v>
      </c>
      <c r="G29" s="19">
        <v>9.68</v>
      </c>
      <c r="H29" s="18">
        <v>35.369999999999997</v>
      </c>
      <c r="I29" s="20">
        <v>156.13</v>
      </c>
      <c r="J29" s="19">
        <v>49.484160000000003</v>
      </c>
      <c r="K29" s="18">
        <v>180.81144</v>
      </c>
      <c r="L29" s="20">
        <v>798.13656000000003</v>
      </c>
      <c r="M29" s="18">
        <v>22.595040000000001</v>
      </c>
      <c r="N29" s="18">
        <v>133.26984000000002</v>
      </c>
      <c r="O29" s="18">
        <v>290.41272000000004</v>
      </c>
      <c r="P29" s="19">
        <f t="shared" si="1"/>
        <v>22.595040000000001</v>
      </c>
      <c r="Q29" s="18">
        <f t="shared" si="2"/>
        <v>133.26984000000002</v>
      </c>
      <c r="R29" s="20">
        <f t="shared" si="3"/>
        <v>290.41272000000004</v>
      </c>
      <c r="S29" s="108">
        <f t="shared" ref="S29" si="52">(F30-F29)/F29</f>
        <v>-0.16040688575899847</v>
      </c>
      <c r="T29" s="108">
        <f t="shared" ref="T29" si="53">(P30-P29)/P29</f>
        <v>-0.19839752441243746</v>
      </c>
      <c r="U29" s="108">
        <f t="shared" ref="U29" si="54">(Q30-Q29)/Q29</f>
        <v>-0.19615480892000778</v>
      </c>
      <c r="V29" s="109">
        <f t="shared" ref="V29" si="55">(R30-R29)/R29</f>
        <v>-0.14237654604109634</v>
      </c>
      <c r="W29" s="2"/>
    </row>
    <row r="30" spans="1:23" x14ac:dyDescent="0.25">
      <c r="A30" s="128"/>
      <c r="B30" s="91">
        <v>100000000</v>
      </c>
      <c r="C30" s="91">
        <v>1</v>
      </c>
      <c r="D30" s="110"/>
      <c r="E30" s="62" t="s">
        <v>62</v>
      </c>
      <c r="F30" s="17">
        <v>4.2919999999999998</v>
      </c>
      <c r="G30" s="19">
        <v>9.48</v>
      </c>
      <c r="H30" s="18">
        <v>34.26</v>
      </c>
      <c r="I30" s="20">
        <v>157.34</v>
      </c>
      <c r="J30" s="19">
        <v>40.688160000000003</v>
      </c>
      <c r="K30" s="18">
        <v>147.04391999999999</v>
      </c>
      <c r="L30" s="20">
        <v>675.30327999999997</v>
      </c>
      <c r="M30" s="18">
        <v>18.11224</v>
      </c>
      <c r="N30" s="18">
        <v>107.12832</v>
      </c>
      <c r="O30" s="18">
        <v>249.06476000000001</v>
      </c>
      <c r="P30" s="19">
        <f t="shared" si="1"/>
        <v>18.11224</v>
      </c>
      <c r="Q30" s="18">
        <f t="shared" si="2"/>
        <v>107.12832</v>
      </c>
      <c r="R30" s="20">
        <f t="shared" si="3"/>
        <v>249.06476000000001</v>
      </c>
      <c r="S30" s="108"/>
      <c r="T30" s="108"/>
      <c r="U30" s="108"/>
      <c r="V30" s="109"/>
      <c r="W30" s="2"/>
    </row>
    <row r="31" spans="1:23" x14ac:dyDescent="0.25">
      <c r="A31" s="128" t="s">
        <v>4</v>
      </c>
      <c r="B31" s="91">
        <v>100000000</v>
      </c>
      <c r="C31" s="91">
        <v>1</v>
      </c>
      <c r="D31" s="124" t="s">
        <v>115</v>
      </c>
      <c r="E31" s="62" t="s">
        <v>59</v>
      </c>
      <c r="F31" s="17">
        <v>252.87</v>
      </c>
      <c r="G31" s="19">
        <v>4.88</v>
      </c>
      <c r="H31" s="18">
        <v>32.86</v>
      </c>
      <c r="I31" s="20">
        <v>155.62</v>
      </c>
      <c r="J31" s="19">
        <v>1234.0056</v>
      </c>
      <c r="K31" s="18">
        <v>8309.3081999999995</v>
      </c>
      <c r="L31" s="20">
        <v>39351.629400000005</v>
      </c>
      <c r="M31" s="18">
        <v>872.40150000000006</v>
      </c>
      <c r="N31" s="18">
        <v>7426.7919000000002</v>
      </c>
      <c r="O31" s="18">
        <v>14345.3151</v>
      </c>
      <c r="P31" s="19">
        <f t="shared" si="1"/>
        <v>872.40150000000006</v>
      </c>
      <c r="Q31" s="18">
        <f t="shared" si="2"/>
        <v>7426.7919000000002</v>
      </c>
      <c r="R31" s="20">
        <f t="shared" si="3"/>
        <v>14345.3151</v>
      </c>
      <c r="S31" s="108">
        <f t="shared" ref="S31" si="56">(F32-F31)/F31</f>
        <v>-9.9905089571716718E-2</v>
      </c>
      <c r="T31" s="108">
        <f t="shared" ref="T31" si="57">(P32-P31)/P31</f>
        <v>-0.10251406032658135</v>
      </c>
      <c r="U31" s="108">
        <f t="shared" ref="U31" si="58">(Q32-Q31)/Q31</f>
        <v>-8.5501119265237555E-2</v>
      </c>
      <c r="V31" s="109">
        <f t="shared" ref="V31" si="59">(R32-R31)/R31</f>
        <v>-6.6109881406508808E-2</v>
      </c>
      <c r="W31" s="2"/>
    </row>
    <row r="32" spans="1:23" x14ac:dyDescent="0.25">
      <c r="A32" s="128"/>
      <c r="B32" s="91">
        <v>100000000</v>
      </c>
      <c r="C32" s="91">
        <v>1</v>
      </c>
      <c r="D32" s="110"/>
      <c r="E32" s="62" t="s">
        <v>62</v>
      </c>
      <c r="F32" s="17">
        <v>227.607</v>
      </c>
      <c r="G32" s="19">
        <v>4.87</v>
      </c>
      <c r="H32" s="18">
        <v>33.33</v>
      </c>
      <c r="I32" s="20">
        <v>157.75</v>
      </c>
      <c r="J32" s="19">
        <v>1108.4460899999999</v>
      </c>
      <c r="K32" s="18">
        <v>7586.14131</v>
      </c>
      <c r="L32" s="20">
        <v>35905.004249999998</v>
      </c>
      <c r="M32" s="18">
        <v>782.96807999999999</v>
      </c>
      <c r="N32" s="18">
        <v>6791.79288</v>
      </c>
      <c r="O32" s="18">
        <v>13396.94802</v>
      </c>
      <c r="P32" s="19">
        <f t="shared" si="1"/>
        <v>782.96807999999999</v>
      </c>
      <c r="Q32" s="18">
        <f t="shared" si="2"/>
        <v>6791.79288</v>
      </c>
      <c r="R32" s="20">
        <f t="shared" si="3"/>
        <v>13396.94802</v>
      </c>
      <c r="S32" s="108"/>
      <c r="T32" s="108"/>
      <c r="U32" s="108"/>
      <c r="V32" s="109"/>
      <c r="W32" s="2"/>
    </row>
    <row r="33" spans="1:23" x14ac:dyDescent="0.25">
      <c r="A33" s="128"/>
      <c r="B33" s="91">
        <v>100000000</v>
      </c>
      <c r="C33" s="91">
        <v>1</v>
      </c>
      <c r="D33" s="110" t="s">
        <v>66</v>
      </c>
      <c r="E33" s="62" t="s">
        <v>59</v>
      </c>
      <c r="F33" s="17">
        <v>227.75299999999999</v>
      </c>
      <c r="G33" s="19">
        <v>4.8899999999999997</v>
      </c>
      <c r="H33" s="18">
        <v>33.299999999999997</v>
      </c>
      <c r="I33" s="20">
        <v>156.56</v>
      </c>
      <c r="J33" s="19">
        <v>1113.7121699999998</v>
      </c>
      <c r="K33" s="18">
        <v>7584.1748999999991</v>
      </c>
      <c r="L33" s="20">
        <v>35657.009679999996</v>
      </c>
      <c r="M33" s="18">
        <v>788.02537999999993</v>
      </c>
      <c r="N33" s="18">
        <v>6789.316929999999</v>
      </c>
      <c r="O33" s="18">
        <v>13134.515509999999</v>
      </c>
      <c r="P33" s="19">
        <f t="shared" si="1"/>
        <v>788.02537999999993</v>
      </c>
      <c r="Q33" s="18">
        <f t="shared" si="2"/>
        <v>6789.316929999999</v>
      </c>
      <c r="R33" s="20">
        <f t="shared" si="3"/>
        <v>13134.515509999999</v>
      </c>
      <c r="S33" s="108">
        <f t="shared" ref="S33" si="60">(F34-F33)/F33</f>
        <v>-2.8803133218880872E-3</v>
      </c>
      <c r="T33" s="108">
        <f t="shared" ref="T33" si="61">(P34-P33)/P33</f>
        <v>-5.7621621273160339E-3</v>
      </c>
      <c r="U33" s="108">
        <f t="shared" ref="U33" si="62">(Q34-Q33)/Q33</f>
        <v>-5.3887158866196727E-4</v>
      </c>
      <c r="V33" s="109">
        <f t="shared" ref="V33" si="63">(R34-R33)/R33</f>
        <v>3.6899221720893649E-3</v>
      </c>
      <c r="W33" s="2"/>
    </row>
    <row r="34" spans="1:23" x14ac:dyDescent="0.25">
      <c r="A34" s="128"/>
      <c r="B34" s="91">
        <v>100000000</v>
      </c>
      <c r="C34" s="91">
        <v>1</v>
      </c>
      <c r="D34" s="110"/>
      <c r="E34" s="62" t="s">
        <v>62</v>
      </c>
      <c r="F34" s="17">
        <v>227.09700000000001</v>
      </c>
      <c r="G34" s="19">
        <v>4.88</v>
      </c>
      <c r="H34" s="18">
        <v>33.369999999999997</v>
      </c>
      <c r="I34" s="20">
        <v>156.94</v>
      </c>
      <c r="J34" s="19">
        <v>1108.2333599999999</v>
      </c>
      <c r="K34" s="18">
        <v>7578.2268899999999</v>
      </c>
      <c r="L34" s="20">
        <v>35640.603179999998</v>
      </c>
      <c r="M34" s="18">
        <v>783.4846500000001</v>
      </c>
      <c r="N34" s="18">
        <v>6785.6583600000004</v>
      </c>
      <c r="O34" s="18">
        <v>13182.98085</v>
      </c>
      <c r="P34" s="19">
        <f t="shared" si="1"/>
        <v>783.4846500000001</v>
      </c>
      <c r="Q34" s="18">
        <f t="shared" si="2"/>
        <v>6785.6583600000004</v>
      </c>
      <c r="R34" s="20">
        <f t="shared" si="3"/>
        <v>13182.98085</v>
      </c>
      <c r="S34" s="108"/>
      <c r="T34" s="108"/>
      <c r="U34" s="108"/>
      <c r="V34" s="109"/>
      <c r="W34" s="2"/>
    </row>
    <row r="35" spans="1:23" x14ac:dyDescent="0.25">
      <c r="A35" s="128" t="s">
        <v>7</v>
      </c>
      <c r="B35" s="91">
        <v>100000000</v>
      </c>
      <c r="C35" s="91">
        <v>1</v>
      </c>
      <c r="D35" s="124" t="s">
        <v>115</v>
      </c>
      <c r="E35" s="62" t="s">
        <v>59</v>
      </c>
      <c r="F35" s="17">
        <v>8.2349999999999994</v>
      </c>
      <c r="G35" s="19">
        <v>6.83</v>
      </c>
      <c r="H35" s="18">
        <v>33.17</v>
      </c>
      <c r="I35" s="20">
        <v>160.97</v>
      </c>
      <c r="J35" s="19">
        <v>56.245049999999999</v>
      </c>
      <c r="K35" s="18">
        <v>273.15494999999999</v>
      </c>
      <c r="L35" s="20">
        <v>1325.5879499999999</v>
      </c>
      <c r="M35" s="18">
        <v>33.516449999999999</v>
      </c>
      <c r="N35" s="18">
        <v>234.86219999999997</v>
      </c>
      <c r="O35" s="18">
        <v>494.34704999999997</v>
      </c>
      <c r="P35" s="19">
        <f t="shared" si="1"/>
        <v>33.516449999999999</v>
      </c>
      <c r="Q35" s="18">
        <f t="shared" si="2"/>
        <v>234.86219999999997</v>
      </c>
      <c r="R35" s="20">
        <f t="shared" si="3"/>
        <v>494.34704999999997</v>
      </c>
      <c r="S35" s="108">
        <f t="shared" ref="S35" si="64">(F36-F35)/F35</f>
        <v>-8.1845780206435889E-2</v>
      </c>
      <c r="T35" s="108">
        <f t="shared" ref="T35" si="65">(P36-P35)/P35</f>
        <v>-8.1845780206435806E-2</v>
      </c>
      <c r="U35" s="108">
        <f t="shared" ref="U35" si="66">(Q36-Q35)/Q35</f>
        <v>-0.10727852332133472</v>
      </c>
      <c r="V35" s="109">
        <f t="shared" ref="V35" si="67">(R36-R35)/R35</f>
        <v>-0.12145963043574345</v>
      </c>
      <c r="W35" s="2"/>
    </row>
    <row r="36" spans="1:23" x14ac:dyDescent="0.25">
      <c r="A36" s="128"/>
      <c r="B36" s="91">
        <v>100000000</v>
      </c>
      <c r="C36" s="91">
        <v>1</v>
      </c>
      <c r="D36" s="110"/>
      <c r="E36" s="62" t="s">
        <v>62</v>
      </c>
      <c r="F36" s="17">
        <v>7.5609999999999999</v>
      </c>
      <c r="G36" s="19">
        <v>6.83</v>
      </c>
      <c r="H36" s="18">
        <v>32.380000000000003</v>
      </c>
      <c r="I36" s="20">
        <v>158.38999999999999</v>
      </c>
      <c r="J36" s="19">
        <v>51.641629999999999</v>
      </c>
      <c r="K36" s="18">
        <v>244.82518000000002</v>
      </c>
      <c r="L36" s="20">
        <v>1197.5867899999998</v>
      </c>
      <c r="M36" s="18">
        <v>30.773270000000004</v>
      </c>
      <c r="N36" s="18">
        <v>209.66652999999999</v>
      </c>
      <c r="O36" s="18">
        <v>434.30383999999998</v>
      </c>
      <c r="P36" s="19">
        <f t="shared" si="1"/>
        <v>30.773270000000004</v>
      </c>
      <c r="Q36" s="18">
        <f t="shared" si="2"/>
        <v>209.66652999999999</v>
      </c>
      <c r="R36" s="20">
        <f t="shared" si="3"/>
        <v>434.30383999999998</v>
      </c>
      <c r="S36" s="108"/>
      <c r="T36" s="108"/>
      <c r="U36" s="108"/>
      <c r="V36" s="109"/>
      <c r="W36" s="2"/>
    </row>
    <row r="37" spans="1:23" x14ac:dyDescent="0.25">
      <c r="A37" s="128"/>
      <c r="B37" s="91">
        <v>100000000</v>
      </c>
      <c r="C37" s="91">
        <v>1</v>
      </c>
      <c r="D37" s="110" t="s">
        <v>66</v>
      </c>
      <c r="E37" s="62" t="s">
        <v>59</v>
      </c>
      <c r="F37" s="17">
        <v>4.327</v>
      </c>
      <c r="G37" s="19">
        <v>6.86</v>
      </c>
      <c r="H37" s="18">
        <v>31.59</v>
      </c>
      <c r="I37" s="20">
        <v>159.78</v>
      </c>
      <c r="J37" s="19">
        <v>29.683220000000002</v>
      </c>
      <c r="K37" s="18">
        <v>136.68993</v>
      </c>
      <c r="L37" s="20">
        <v>691.36806000000001</v>
      </c>
      <c r="M37" s="18">
        <v>17.740699999999997</v>
      </c>
      <c r="N37" s="18">
        <v>116.56938000000001</v>
      </c>
      <c r="O37" s="18">
        <v>254.60068000000001</v>
      </c>
      <c r="P37" s="19">
        <f t="shared" si="1"/>
        <v>17.740699999999997</v>
      </c>
      <c r="Q37" s="18">
        <f t="shared" si="2"/>
        <v>116.56938000000001</v>
      </c>
      <c r="R37" s="20">
        <f t="shared" si="3"/>
        <v>254.60068000000001</v>
      </c>
      <c r="S37" s="108">
        <f t="shared" ref="S37" si="68">(F38-F37)/F37</f>
        <v>-2.4497342269470736E-2</v>
      </c>
      <c r="T37" s="108">
        <f t="shared" ref="T37" si="69">(P38-P37)/P37</f>
        <v>-1.0221693619755433E-2</v>
      </c>
      <c r="U37" s="108">
        <f t="shared" ref="U37" si="70">(Q38-Q37)/Q37</f>
        <v>-3.282568715729637E-2</v>
      </c>
      <c r="V37" s="109">
        <f t="shared" ref="V37" si="71">(R38-R37)/R37</f>
        <v>-5.4339367828868383E-2</v>
      </c>
      <c r="W37" s="2"/>
    </row>
    <row r="38" spans="1:23" x14ac:dyDescent="0.25">
      <c r="A38" s="128"/>
      <c r="B38" s="91">
        <v>100000000</v>
      </c>
      <c r="C38" s="91">
        <v>1</v>
      </c>
      <c r="D38" s="110"/>
      <c r="E38" s="62" t="s">
        <v>62</v>
      </c>
      <c r="F38" s="17">
        <v>4.2210000000000001</v>
      </c>
      <c r="G38" s="19">
        <v>6.92</v>
      </c>
      <c r="H38" s="18">
        <v>31.36</v>
      </c>
      <c r="I38" s="20">
        <v>157.97999999999999</v>
      </c>
      <c r="J38" s="19">
        <v>29.209320000000002</v>
      </c>
      <c r="K38" s="18">
        <v>132.37056000000001</v>
      </c>
      <c r="L38" s="20">
        <v>666.83357999999998</v>
      </c>
      <c r="M38" s="18">
        <v>17.559360000000002</v>
      </c>
      <c r="N38" s="18">
        <v>112.74291000000001</v>
      </c>
      <c r="O38" s="18">
        <v>240.76584</v>
      </c>
      <c r="P38" s="19">
        <f t="shared" si="1"/>
        <v>17.559360000000002</v>
      </c>
      <c r="Q38" s="18">
        <f t="shared" si="2"/>
        <v>112.74291000000001</v>
      </c>
      <c r="R38" s="20">
        <f t="shared" si="3"/>
        <v>240.76584</v>
      </c>
      <c r="S38" s="108"/>
      <c r="T38" s="108"/>
      <c r="U38" s="108"/>
      <c r="V38" s="109"/>
      <c r="W38" s="2"/>
    </row>
    <row r="39" spans="1:23" x14ac:dyDescent="0.25">
      <c r="A39" s="128" t="s">
        <v>8</v>
      </c>
      <c r="B39" s="91">
        <v>100000000</v>
      </c>
      <c r="C39" s="91">
        <v>1</v>
      </c>
      <c r="D39" s="124" t="s">
        <v>115</v>
      </c>
      <c r="E39" s="62" t="s">
        <v>59</v>
      </c>
      <c r="F39" s="17">
        <v>7.6769999999999996</v>
      </c>
      <c r="G39" s="19">
        <v>9.08</v>
      </c>
      <c r="H39" s="18">
        <v>35.44</v>
      </c>
      <c r="I39" s="20">
        <v>159.31</v>
      </c>
      <c r="J39" s="19">
        <v>69.707160000000002</v>
      </c>
      <c r="K39" s="18">
        <v>272.07287999999994</v>
      </c>
      <c r="L39" s="20">
        <v>1223.02287</v>
      </c>
      <c r="M39" s="18">
        <v>33.164639999999999</v>
      </c>
      <c r="N39" s="18">
        <v>209.65886999999998</v>
      </c>
      <c r="O39" s="18">
        <v>439.66179</v>
      </c>
      <c r="P39" s="19">
        <f t="shared" si="1"/>
        <v>33.164639999999999</v>
      </c>
      <c r="Q39" s="18">
        <f t="shared" si="2"/>
        <v>209.65886999999998</v>
      </c>
      <c r="R39" s="20">
        <f t="shared" si="3"/>
        <v>439.66179</v>
      </c>
      <c r="S39" s="108">
        <f t="shared" ref="S39" si="72">(F40-F39)/F39</f>
        <v>6.6953236941513755E-2</v>
      </c>
      <c r="T39" s="108">
        <f t="shared" ref="T39" si="73">(P40-P39)/P39</f>
        <v>2.7436450388124423E-2</v>
      </c>
      <c r="U39" s="108">
        <f t="shared" ref="U39" si="74">(Q40-Q39)/Q39</f>
        <v>9.0003489954896945E-2</v>
      </c>
      <c r="V39" s="109">
        <f t="shared" ref="V39" si="75">(R40-R39)/R39</f>
        <v>6.285458647657334E-2</v>
      </c>
      <c r="W39" s="2"/>
    </row>
    <row r="40" spans="1:23" x14ac:dyDescent="0.25">
      <c r="A40" s="128"/>
      <c r="B40" s="91">
        <v>100000000</v>
      </c>
      <c r="C40" s="91">
        <v>1</v>
      </c>
      <c r="D40" s="110"/>
      <c r="E40" s="62" t="s">
        <v>62</v>
      </c>
      <c r="F40" s="17">
        <v>8.1910000000000007</v>
      </c>
      <c r="G40" s="19">
        <v>8.92</v>
      </c>
      <c r="H40" s="18">
        <v>36.03</v>
      </c>
      <c r="I40" s="20">
        <v>159.09</v>
      </c>
      <c r="J40" s="19">
        <v>73.063720000000004</v>
      </c>
      <c r="K40" s="18">
        <v>295.12173000000001</v>
      </c>
      <c r="L40" s="20">
        <v>1303.1061900000002</v>
      </c>
      <c r="M40" s="18">
        <v>34.074560000000005</v>
      </c>
      <c r="N40" s="18">
        <v>228.52890000000002</v>
      </c>
      <c r="O40" s="18">
        <v>467.29655000000002</v>
      </c>
      <c r="P40" s="19">
        <f t="shared" si="1"/>
        <v>34.074560000000005</v>
      </c>
      <c r="Q40" s="18">
        <f t="shared" si="2"/>
        <v>228.52890000000002</v>
      </c>
      <c r="R40" s="20">
        <f t="shared" si="3"/>
        <v>467.29655000000002</v>
      </c>
      <c r="S40" s="108"/>
      <c r="T40" s="108"/>
      <c r="U40" s="108"/>
      <c r="V40" s="109"/>
      <c r="W40" s="2"/>
    </row>
    <row r="41" spans="1:23" x14ac:dyDescent="0.25">
      <c r="A41" s="128"/>
      <c r="B41" s="91">
        <v>100000000</v>
      </c>
      <c r="C41" s="91">
        <v>1</v>
      </c>
      <c r="D41" s="110" t="s">
        <v>66</v>
      </c>
      <c r="E41" s="62" t="s">
        <v>59</v>
      </c>
      <c r="F41" s="17">
        <v>4.2039999999999997</v>
      </c>
      <c r="G41" s="19">
        <v>9.08</v>
      </c>
      <c r="H41" s="18">
        <v>34.35</v>
      </c>
      <c r="I41" s="20">
        <v>158.27000000000001</v>
      </c>
      <c r="J41" s="19">
        <v>38.172319999999999</v>
      </c>
      <c r="K41" s="18">
        <v>144.4074</v>
      </c>
      <c r="L41" s="20">
        <v>665.36707999999999</v>
      </c>
      <c r="M41" s="18">
        <v>18.161280000000001</v>
      </c>
      <c r="N41" s="18">
        <v>110.22887999999999</v>
      </c>
      <c r="O41" s="18">
        <v>236.39091999999997</v>
      </c>
      <c r="P41" s="19">
        <f t="shared" si="1"/>
        <v>18.161280000000001</v>
      </c>
      <c r="Q41" s="18">
        <f t="shared" si="2"/>
        <v>110.22887999999999</v>
      </c>
      <c r="R41" s="20">
        <f t="shared" si="3"/>
        <v>236.39091999999997</v>
      </c>
      <c r="S41" s="108">
        <f t="shared" ref="S41" si="76">(F42-F41)/F41</f>
        <v>0.20004757373929596</v>
      </c>
      <c r="T41" s="108">
        <f t="shared" ref="T41" si="77">(P42-P41)/P41</f>
        <v>0.13615615198928693</v>
      </c>
      <c r="U41" s="108">
        <f t="shared" ref="U41" si="78">(Q42-Q41)/Q41</f>
        <v>0.22338946018502595</v>
      </c>
      <c r="V41" s="109">
        <f t="shared" ref="V41" si="79">(R42-R41)/R41</f>
        <v>0.22266984704827092</v>
      </c>
      <c r="W41" s="2"/>
    </row>
    <row r="42" spans="1:23" x14ac:dyDescent="0.25">
      <c r="A42" s="128"/>
      <c r="B42" s="91">
        <v>100000000</v>
      </c>
      <c r="C42" s="91">
        <v>1</v>
      </c>
      <c r="D42" s="110"/>
      <c r="E42" s="62" t="s">
        <v>62</v>
      </c>
      <c r="F42" s="17">
        <v>5.0449999999999999</v>
      </c>
      <c r="G42" s="19">
        <v>8.85</v>
      </c>
      <c r="H42" s="18">
        <v>34.86</v>
      </c>
      <c r="I42" s="20">
        <v>159.33000000000001</v>
      </c>
      <c r="J42" s="19">
        <v>44.648249999999997</v>
      </c>
      <c r="K42" s="18">
        <v>175.86869999999999</v>
      </c>
      <c r="L42" s="20">
        <v>803.81985000000009</v>
      </c>
      <c r="M42" s="18">
        <v>20.634049999999998</v>
      </c>
      <c r="N42" s="18">
        <v>134.85284999999999</v>
      </c>
      <c r="O42" s="18">
        <v>289.02805000000001</v>
      </c>
      <c r="P42" s="19">
        <f t="shared" si="1"/>
        <v>20.634049999999998</v>
      </c>
      <c r="Q42" s="18">
        <f t="shared" si="2"/>
        <v>134.85284999999999</v>
      </c>
      <c r="R42" s="20">
        <f t="shared" si="3"/>
        <v>289.02805000000001</v>
      </c>
      <c r="S42" s="108"/>
      <c r="T42" s="108"/>
      <c r="U42" s="108"/>
      <c r="V42" s="109"/>
      <c r="W42" s="2"/>
    </row>
    <row r="43" spans="1:23" x14ac:dyDescent="0.25">
      <c r="A43" s="132" t="s">
        <v>10</v>
      </c>
      <c r="B43" s="91">
        <v>100000000</v>
      </c>
      <c r="C43" s="91">
        <v>1</v>
      </c>
      <c r="D43" s="124" t="s">
        <v>115</v>
      </c>
      <c r="E43" s="62" t="s">
        <v>59</v>
      </c>
      <c r="F43" s="17">
        <v>130.40700000000001</v>
      </c>
      <c r="G43" s="19">
        <v>2.8</v>
      </c>
      <c r="H43" s="18">
        <v>22.39</v>
      </c>
      <c r="I43" s="20">
        <v>171.05</v>
      </c>
      <c r="J43" s="19">
        <v>365.13960000000003</v>
      </c>
      <c r="K43" s="18">
        <v>2919.8127300000001</v>
      </c>
      <c r="L43" s="20">
        <v>22306.117350000004</v>
      </c>
      <c r="M43" s="18">
        <v>310.36866000000003</v>
      </c>
      <c r="N43" s="18">
        <v>2844.1766700000003</v>
      </c>
      <c r="O43" s="18">
        <v>8087.8421400000007</v>
      </c>
      <c r="P43" s="19">
        <f t="shared" si="1"/>
        <v>310.36866000000003</v>
      </c>
      <c r="Q43" s="18">
        <f t="shared" si="2"/>
        <v>2844.1766700000003</v>
      </c>
      <c r="R43" s="20">
        <f t="shared" si="3"/>
        <v>8087.8421400000007</v>
      </c>
      <c r="S43" s="108">
        <f t="shared" ref="S43" si="80">(F44-F43)/F43</f>
        <v>8.4964764161431176E-3</v>
      </c>
      <c r="T43" s="108">
        <f t="shared" ref="T43" si="81">(P44-P43)/P43</f>
        <v>2.5445997028179037E-2</v>
      </c>
      <c r="U43" s="108">
        <f t="shared" ref="U43" si="82">(Q44-Q43)/Q43</f>
        <v>1.0980611833790867E-3</v>
      </c>
      <c r="V43" s="109">
        <f t="shared" ref="V43" si="83">(R44-R43)/R43</f>
        <v>-9.7156495687985237E-3</v>
      </c>
      <c r="W43" s="2"/>
    </row>
    <row r="44" spans="1:23" x14ac:dyDescent="0.25">
      <c r="A44" s="133"/>
      <c r="B44" s="91">
        <v>100000000</v>
      </c>
      <c r="C44" s="91">
        <v>1</v>
      </c>
      <c r="D44" s="110"/>
      <c r="E44" s="62" t="s">
        <v>62</v>
      </c>
      <c r="F44" s="17">
        <v>131.51499999999999</v>
      </c>
      <c r="G44" s="19">
        <v>2.84</v>
      </c>
      <c r="H44" s="18">
        <v>22.23</v>
      </c>
      <c r="I44" s="20">
        <v>169.93</v>
      </c>
      <c r="J44" s="19">
        <v>373.50259999999992</v>
      </c>
      <c r="K44" s="18">
        <v>2923.57845</v>
      </c>
      <c r="L44" s="20">
        <v>22348.343949999999</v>
      </c>
      <c r="M44" s="18">
        <v>318.26629999999994</v>
      </c>
      <c r="N44" s="18">
        <v>2847.2997499999997</v>
      </c>
      <c r="O44" s="18">
        <v>8009.2634999999991</v>
      </c>
      <c r="P44" s="19">
        <f t="shared" si="1"/>
        <v>318.26629999999994</v>
      </c>
      <c r="Q44" s="18">
        <f t="shared" si="2"/>
        <v>2847.2997499999997</v>
      </c>
      <c r="R44" s="20">
        <f t="shared" si="3"/>
        <v>8009.2634999999991</v>
      </c>
      <c r="S44" s="108"/>
      <c r="T44" s="108"/>
      <c r="U44" s="108"/>
      <c r="V44" s="109"/>
      <c r="W44" s="2"/>
    </row>
    <row r="45" spans="1:23" x14ac:dyDescent="0.25">
      <c r="A45" s="133"/>
      <c r="B45" s="91">
        <v>100000000</v>
      </c>
      <c r="C45" s="91">
        <v>1</v>
      </c>
      <c r="D45" s="110" t="s">
        <v>66</v>
      </c>
      <c r="E45" s="62" t="s">
        <v>59</v>
      </c>
      <c r="F45" s="17">
        <v>125.69</v>
      </c>
      <c r="G45" s="19">
        <v>2.81</v>
      </c>
      <c r="H45" s="18">
        <v>22.97</v>
      </c>
      <c r="I45" s="20">
        <v>171.9</v>
      </c>
      <c r="J45" s="19">
        <v>353.18889999999999</v>
      </c>
      <c r="K45" s="18">
        <v>2887.0992999999999</v>
      </c>
      <c r="L45" s="20">
        <v>21606.111000000001</v>
      </c>
      <c r="M45" s="18">
        <v>300.39910000000003</v>
      </c>
      <c r="N45" s="18">
        <v>2814.1990999999998</v>
      </c>
      <c r="O45" s="18">
        <v>7902.1302999999998</v>
      </c>
      <c r="P45" s="19">
        <f t="shared" si="1"/>
        <v>300.39910000000003</v>
      </c>
      <c r="Q45" s="18">
        <f t="shared" si="2"/>
        <v>2814.1990999999998</v>
      </c>
      <c r="R45" s="20">
        <f t="shared" si="3"/>
        <v>7902.1302999999998</v>
      </c>
      <c r="S45" s="108">
        <f t="shared" ref="S45" si="84">(F46-F45)/F45</f>
        <v>-1.0040576020367575E-2</v>
      </c>
      <c r="T45" s="108">
        <f t="shared" ref="T45" si="85">(P46-P45)/P45</f>
        <v>2.3096141100289604E-2</v>
      </c>
      <c r="U45" s="108">
        <f t="shared" ref="U45" si="86">(Q46-Q45)/Q45</f>
        <v>-4.1432768562821215E-2</v>
      </c>
      <c r="V45" s="109">
        <f t="shared" ref="V45" si="87">(R46-R45)/R45</f>
        <v>-3.2557547171805042E-2</v>
      </c>
      <c r="W45" s="2"/>
    </row>
    <row r="46" spans="1:23" x14ac:dyDescent="0.25">
      <c r="A46" s="134"/>
      <c r="B46" s="91">
        <v>100000000</v>
      </c>
      <c r="C46" s="91">
        <v>1</v>
      </c>
      <c r="D46" s="110"/>
      <c r="E46" s="62" t="s">
        <v>62</v>
      </c>
      <c r="F46" s="17">
        <v>124.428</v>
      </c>
      <c r="G46" s="19">
        <v>2.89</v>
      </c>
      <c r="H46" s="18">
        <v>22.26</v>
      </c>
      <c r="I46" s="20">
        <v>170.47</v>
      </c>
      <c r="J46" s="19">
        <v>359.59692000000001</v>
      </c>
      <c r="K46" s="18">
        <v>2769.76728</v>
      </c>
      <c r="L46" s="20">
        <v>21211.241159999998</v>
      </c>
      <c r="M46" s="18">
        <v>307.33716000000004</v>
      </c>
      <c r="N46" s="18">
        <v>2697.5990400000001</v>
      </c>
      <c r="O46" s="18">
        <v>7644.8563199999999</v>
      </c>
      <c r="P46" s="19">
        <f t="shared" si="1"/>
        <v>307.33716000000004</v>
      </c>
      <c r="Q46" s="18">
        <f t="shared" si="2"/>
        <v>2697.5990400000001</v>
      </c>
      <c r="R46" s="20">
        <f t="shared" si="3"/>
        <v>7644.8563199999999</v>
      </c>
      <c r="S46" s="108"/>
      <c r="T46" s="108"/>
      <c r="U46" s="108"/>
      <c r="V46" s="109"/>
      <c r="W46" s="2"/>
    </row>
    <row r="47" spans="1:23" x14ac:dyDescent="0.25">
      <c r="A47" s="128" t="s">
        <v>11</v>
      </c>
      <c r="B47" s="91">
        <v>100000000</v>
      </c>
      <c r="C47" s="91">
        <v>1</v>
      </c>
      <c r="D47" s="124" t="s">
        <v>115</v>
      </c>
      <c r="E47" s="62" t="s">
        <v>59</v>
      </c>
      <c r="F47" s="17">
        <v>66.995000000000005</v>
      </c>
      <c r="G47" s="19">
        <v>11.87</v>
      </c>
      <c r="H47" s="18">
        <v>42.17</v>
      </c>
      <c r="I47" s="20">
        <v>149.91999999999999</v>
      </c>
      <c r="J47" s="19">
        <v>795.23064999999997</v>
      </c>
      <c r="K47" s="18">
        <v>2825.1791500000004</v>
      </c>
      <c r="L47" s="20">
        <v>10043.8904</v>
      </c>
      <c r="M47" s="18">
        <v>481.69405000000006</v>
      </c>
      <c r="N47" s="18">
        <v>2240.9827500000001</v>
      </c>
      <c r="O47" s="18">
        <v>4211.3056999999999</v>
      </c>
      <c r="P47" s="19">
        <f t="shared" si="1"/>
        <v>481.69405000000006</v>
      </c>
      <c r="Q47" s="18">
        <f t="shared" si="2"/>
        <v>2240.9827500000001</v>
      </c>
      <c r="R47" s="20">
        <f t="shared" si="3"/>
        <v>4211.3056999999999</v>
      </c>
      <c r="S47" s="108">
        <f t="shared" ref="S47" si="88">(F48-F47)/F47</f>
        <v>-8.7409508172251682E-2</v>
      </c>
      <c r="T47" s="108">
        <f t="shared" ref="T47" si="89">(P48-P47)/P47</f>
        <v>-0.20544972477862253</v>
      </c>
      <c r="U47" s="108">
        <f t="shared" ref="U47" si="90">(Q48-Q47)/Q47</f>
        <v>-0.11305480151509428</v>
      </c>
      <c r="V47" s="109">
        <f t="shared" ref="V47" si="91">(R48-R47)/R47</f>
        <v>-0.11092838498995677</v>
      </c>
      <c r="W47" s="2"/>
    </row>
    <row r="48" spans="1:23" x14ac:dyDescent="0.25">
      <c r="A48" s="128"/>
      <c r="B48" s="91">
        <v>100000000</v>
      </c>
      <c r="C48" s="91">
        <v>1</v>
      </c>
      <c r="D48" s="110"/>
      <c r="E48" s="62" t="s">
        <v>62</v>
      </c>
      <c r="F48" s="17">
        <v>61.139000000000003</v>
      </c>
      <c r="G48" s="19">
        <v>10.94</v>
      </c>
      <c r="H48" s="18">
        <v>41.23</v>
      </c>
      <c r="I48" s="20">
        <v>148.30000000000001</v>
      </c>
      <c r="J48" s="19">
        <v>668.86066000000005</v>
      </c>
      <c r="K48" s="18">
        <v>2520.7609699999998</v>
      </c>
      <c r="L48" s="20">
        <v>9066.913700000001</v>
      </c>
      <c r="M48" s="18">
        <v>382.73014000000001</v>
      </c>
      <c r="N48" s="18">
        <v>1987.62889</v>
      </c>
      <c r="O48" s="18">
        <v>3744.1523600000005</v>
      </c>
      <c r="P48" s="19">
        <f t="shared" si="1"/>
        <v>382.73014000000001</v>
      </c>
      <c r="Q48" s="18">
        <f t="shared" si="2"/>
        <v>1987.62889</v>
      </c>
      <c r="R48" s="20">
        <f t="shared" si="3"/>
        <v>3744.1523600000005</v>
      </c>
      <c r="S48" s="108"/>
      <c r="T48" s="108"/>
      <c r="U48" s="108"/>
      <c r="V48" s="109"/>
      <c r="W48" s="2"/>
    </row>
    <row r="49" spans="1:23" x14ac:dyDescent="0.25">
      <c r="A49" s="128"/>
      <c r="B49" s="91">
        <v>100000000</v>
      </c>
      <c r="C49" s="91">
        <v>1</v>
      </c>
      <c r="D49" s="110" t="s">
        <v>66</v>
      </c>
      <c r="E49" s="62" t="s">
        <v>59</v>
      </c>
      <c r="F49" s="17">
        <v>64.635999999999996</v>
      </c>
      <c r="G49" s="19">
        <v>9.64</v>
      </c>
      <c r="H49" s="18">
        <v>39.83</v>
      </c>
      <c r="I49" s="20">
        <v>147.32</v>
      </c>
      <c r="J49" s="19">
        <v>623.09104000000002</v>
      </c>
      <c r="K49" s="18">
        <v>2574.4518799999996</v>
      </c>
      <c r="L49" s="20">
        <v>9522.1755199999989</v>
      </c>
      <c r="M49" s="18">
        <v>320.59456</v>
      </c>
      <c r="N49" s="18">
        <v>2010.8259599999999</v>
      </c>
      <c r="O49" s="18">
        <v>3894.9653599999997</v>
      </c>
      <c r="P49" s="19">
        <f t="shared" si="1"/>
        <v>320.59456</v>
      </c>
      <c r="Q49" s="18">
        <f t="shared" si="2"/>
        <v>2010.8259599999999</v>
      </c>
      <c r="R49" s="20">
        <f t="shared" si="3"/>
        <v>3894.9653599999997</v>
      </c>
      <c r="S49" s="108">
        <f t="shared" ref="S49" si="92">(F50-F49)/F49</f>
        <v>3.2566990531592364E-2</v>
      </c>
      <c r="T49" s="108">
        <f t="shared" ref="T49" si="93">(P50-P49)/P49</f>
        <v>0.55717763894683681</v>
      </c>
      <c r="U49" s="108">
        <f t="shared" ref="U49" si="94">(Q50-Q49)/Q49</f>
        <v>0.11687172071321374</v>
      </c>
      <c r="V49" s="109">
        <f t="shared" ref="V49" si="95">(R50-R49)/R49</f>
        <v>0.14034738167735603</v>
      </c>
      <c r="W49" s="2"/>
    </row>
    <row r="50" spans="1:23" x14ac:dyDescent="0.25">
      <c r="A50" s="128"/>
      <c r="B50" s="91">
        <v>100000000</v>
      </c>
      <c r="C50" s="91">
        <v>1</v>
      </c>
      <c r="D50" s="110"/>
      <c r="E50" s="62" t="s">
        <v>62</v>
      </c>
      <c r="F50" s="17">
        <v>66.741</v>
      </c>
      <c r="G50" s="19">
        <v>12.16</v>
      </c>
      <c r="H50" s="18">
        <v>42.37</v>
      </c>
      <c r="I50" s="20">
        <v>153.61000000000001</v>
      </c>
      <c r="J50" s="19">
        <v>811.57056</v>
      </c>
      <c r="K50" s="18">
        <v>2827.8161699999996</v>
      </c>
      <c r="L50" s="20">
        <v>10252.085010000001</v>
      </c>
      <c r="M50" s="18">
        <v>499.22268000000003</v>
      </c>
      <c r="N50" s="18">
        <v>2245.8346499999998</v>
      </c>
      <c r="O50" s="18">
        <v>4441.61355</v>
      </c>
      <c r="P50" s="19">
        <f t="shared" si="1"/>
        <v>499.22268000000003</v>
      </c>
      <c r="Q50" s="18">
        <f t="shared" si="2"/>
        <v>2245.8346499999998</v>
      </c>
      <c r="R50" s="20">
        <f t="shared" si="3"/>
        <v>4441.61355</v>
      </c>
      <c r="S50" s="108"/>
      <c r="T50" s="108"/>
      <c r="U50" s="108"/>
      <c r="V50" s="109"/>
      <c r="W50" s="2"/>
    </row>
    <row r="51" spans="1:23" x14ac:dyDescent="0.25">
      <c r="A51" s="128" t="s">
        <v>16</v>
      </c>
      <c r="B51" s="91">
        <v>100000000</v>
      </c>
      <c r="C51" s="91">
        <v>1</v>
      </c>
      <c r="D51" s="124" t="s">
        <v>115</v>
      </c>
      <c r="E51" s="62" t="s">
        <v>59</v>
      </c>
      <c r="F51" s="17">
        <v>174.38399999999999</v>
      </c>
      <c r="G51" s="19">
        <v>5.81</v>
      </c>
      <c r="H51" s="18">
        <v>33.69</v>
      </c>
      <c r="I51" s="20">
        <v>143.78</v>
      </c>
      <c r="J51" s="19">
        <v>1013.1710399999998</v>
      </c>
      <c r="K51" s="18">
        <v>5874.9969599999995</v>
      </c>
      <c r="L51" s="20">
        <v>25072.931519999998</v>
      </c>
      <c r="M51" s="18">
        <v>763.80191999999988</v>
      </c>
      <c r="N51" s="18">
        <v>5165.2540799999997</v>
      </c>
      <c r="O51" s="18">
        <v>10830.990239999999</v>
      </c>
      <c r="P51" s="19">
        <f t="shared" si="1"/>
        <v>763.80191999999988</v>
      </c>
      <c r="Q51" s="18">
        <f t="shared" si="2"/>
        <v>5165.2540799999997</v>
      </c>
      <c r="R51" s="20">
        <f t="shared" si="3"/>
        <v>10830.990239999999</v>
      </c>
      <c r="S51" s="108">
        <f t="shared" ref="S51" si="96">(F52-F51)/F51</f>
        <v>-3.6236122580053154E-2</v>
      </c>
      <c r="T51" s="108">
        <f t="shared" ref="T51" si="97">(P52-P51)/P51</f>
        <v>0.63267761882557227</v>
      </c>
      <c r="U51" s="108">
        <f t="shared" ref="U51" si="98">(Q52-Q51)/Q51</f>
        <v>8.0899257525004403E-2</v>
      </c>
      <c r="V51" s="109">
        <f t="shared" ref="V51" si="99">(R52-R51)/R51</f>
        <v>-9.8614657231931774E-2</v>
      </c>
      <c r="W51" s="2"/>
    </row>
    <row r="52" spans="1:23" x14ac:dyDescent="0.25">
      <c r="A52" s="128"/>
      <c r="B52" s="91">
        <v>100000000</v>
      </c>
      <c r="C52" s="91">
        <v>1</v>
      </c>
      <c r="D52" s="110"/>
      <c r="E52" s="62" t="s">
        <v>62</v>
      </c>
      <c r="F52" s="17">
        <v>168.065</v>
      </c>
      <c r="G52" s="19">
        <v>8.85</v>
      </c>
      <c r="H52" s="18">
        <v>37.29</v>
      </c>
      <c r="I52" s="20">
        <v>139.76</v>
      </c>
      <c r="J52" s="19">
        <v>1487.3752499999998</v>
      </c>
      <c r="K52" s="18">
        <v>6267.1438499999995</v>
      </c>
      <c r="L52" s="20">
        <v>23488.764399999996</v>
      </c>
      <c r="M52" s="18">
        <v>1247.0423000000001</v>
      </c>
      <c r="N52" s="18">
        <v>5583.1192999999994</v>
      </c>
      <c r="O52" s="18">
        <v>9762.8958500000008</v>
      </c>
      <c r="P52" s="19">
        <f t="shared" si="1"/>
        <v>1247.0423000000001</v>
      </c>
      <c r="Q52" s="18">
        <f t="shared" si="2"/>
        <v>5583.1192999999994</v>
      </c>
      <c r="R52" s="20">
        <f t="shared" si="3"/>
        <v>9762.8958500000008</v>
      </c>
      <c r="S52" s="108"/>
      <c r="T52" s="108"/>
      <c r="U52" s="108"/>
      <c r="V52" s="109"/>
      <c r="W52" s="2"/>
    </row>
    <row r="53" spans="1:23" x14ac:dyDescent="0.25">
      <c r="A53" s="128"/>
      <c r="B53" s="91">
        <v>100000000</v>
      </c>
      <c r="C53" s="91">
        <v>1</v>
      </c>
      <c r="D53" s="110" t="s">
        <v>66</v>
      </c>
      <c r="E53" s="62" t="s">
        <v>59</v>
      </c>
      <c r="F53" s="17">
        <v>156.679</v>
      </c>
      <c r="G53" s="19">
        <v>6.59</v>
      </c>
      <c r="H53" s="18">
        <v>35.03</v>
      </c>
      <c r="I53" s="20">
        <v>142.16999999999999</v>
      </c>
      <c r="J53" s="19">
        <v>1032.5146099999999</v>
      </c>
      <c r="K53" s="18">
        <v>5488.4653699999999</v>
      </c>
      <c r="L53" s="20">
        <v>22275.05343</v>
      </c>
      <c r="M53" s="18">
        <v>808.46364000000005</v>
      </c>
      <c r="N53" s="18">
        <v>4850.7818400000006</v>
      </c>
      <c r="O53" s="18">
        <v>9479.0794999999998</v>
      </c>
      <c r="P53" s="19">
        <f t="shared" si="1"/>
        <v>808.46364000000005</v>
      </c>
      <c r="Q53" s="18">
        <f t="shared" si="2"/>
        <v>4850.7818400000006</v>
      </c>
      <c r="R53" s="20">
        <f t="shared" si="3"/>
        <v>9479.0794999999998</v>
      </c>
      <c r="S53" s="108">
        <f t="shared" ref="S53" si="100">(F54-F53)/F53</f>
        <v>-8.7420777513259607E-2</v>
      </c>
      <c r="T53" s="108">
        <f t="shared" ref="T53" si="101">(P54-P53)/P53</f>
        <v>0.60939359004444504</v>
      </c>
      <c r="U53" s="108">
        <f t="shared" ref="U53" si="102">(Q54-Q53)/Q53</f>
        <v>3.9326336721009637E-2</v>
      </c>
      <c r="V53" s="109">
        <f t="shared" ref="V53" si="103">(R54-R53)/R53</f>
        <v>-0.13176760253988795</v>
      </c>
      <c r="W53" s="2"/>
    </row>
    <row r="54" spans="1:23" x14ac:dyDescent="0.25">
      <c r="A54" s="128"/>
      <c r="B54" s="91">
        <v>100000000</v>
      </c>
      <c r="C54" s="91">
        <v>1</v>
      </c>
      <c r="D54" s="110"/>
      <c r="E54" s="62" t="s">
        <v>62</v>
      </c>
      <c r="F54" s="17">
        <v>142.982</v>
      </c>
      <c r="G54" s="19">
        <v>10.53</v>
      </c>
      <c r="H54" s="18">
        <v>39.33</v>
      </c>
      <c r="I54" s="20">
        <v>139.22999999999999</v>
      </c>
      <c r="J54" s="19">
        <v>1505.6004599999999</v>
      </c>
      <c r="K54" s="18">
        <v>5623.4820599999994</v>
      </c>
      <c r="L54" s="20">
        <v>19907.383859999998</v>
      </c>
      <c r="M54" s="18">
        <v>1301.1361999999999</v>
      </c>
      <c r="N54" s="18">
        <v>5041.5453199999993</v>
      </c>
      <c r="O54" s="18">
        <v>8230.0439200000001</v>
      </c>
      <c r="P54" s="19">
        <f t="shared" si="1"/>
        <v>1301.1361999999999</v>
      </c>
      <c r="Q54" s="18">
        <f t="shared" si="2"/>
        <v>5041.5453199999993</v>
      </c>
      <c r="R54" s="20">
        <f t="shared" si="3"/>
        <v>8230.0439200000001</v>
      </c>
      <c r="S54" s="108"/>
      <c r="T54" s="108"/>
      <c r="U54" s="108"/>
      <c r="V54" s="109"/>
      <c r="W54" s="2"/>
    </row>
    <row r="55" spans="1:23" x14ac:dyDescent="0.25">
      <c r="A55" s="128" t="s">
        <v>17</v>
      </c>
      <c r="B55" s="91">
        <v>100000000</v>
      </c>
      <c r="C55" s="91">
        <v>1</v>
      </c>
      <c r="D55" s="124" t="s">
        <v>115</v>
      </c>
      <c r="E55" s="62" t="s">
        <v>59</v>
      </c>
      <c r="F55" s="17">
        <v>173.376</v>
      </c>
      <c r="G55" s="19">
        <v>3.72</v>
      </c>
      <c r="H55" s="18">
        <v>30.18</v>
      </c>
      <c r="I55" s="20">
        <v>171.31</v>
      </c>
      <c r="J55" s="19">
        <v>644.95872000000008</v>
      </c>
      <c r="K55" s="18">
        <v>5232.4876800000002</v>
      </c>
      <c r="L55" s="20">
        <v>29701.042560000002</v>
      </c>
      <c r="M55" s="18">
        <v>572.14080000000001</v>
      </c>
      <c r="N55" s="18">
        <v>5131.9296000000004</v>
      </c>
      <c r="O55" s="18">
        <v>11806.9056</v>
      </c>
      <c r="P55" s="19">
        <f t="shared" si="1"/>
        <v>572.14080000000001</v>
      </c>
      <c r="Q55" s="18">
        <f t="shared" si="2"/>
        <v>5131.9296000000004</v>
      </c>
      <c r="R55" s="20">
        <f t="shared" si="3"/>
        <v>11806.9056</v>
      </c>
      <c r="S55" s="108">
        <f t="shared" ref="S55" si="104">(F56-F55)/F55</f>
        <v>-0.26469638242894061</v>
      </c>
      <c r="T55" s="108">
        <f t="shared" ref="T55" si="105">(P56-P55)/P55</f>
        <v>-0.42066987706522596</v>
      </c>
      <c r="U55" s="108">
        <f t="shared" ref="U55" si="106">(Q56-Q55)/Q55</f>
        <v>-0.25202729982889871</v>
      </c>
      <c r="V55" s="109">
        <f t="shared" ref="V55" si="107">(R56-R55)/R55</f>
        <v>-0.28197223834837809</v>
      </c>
      <c r="W55" s="2"/>
    </row>
    <row r="56" spans="1:23" x14ac:dyDescent="0.25">
      <c r="A56" s="128"/>
      <c r="B56" s="91">
        <v>100000000</v>
      </c>
      <c r="C56" s="91">
        <v>1</v>
      </c>
      <c r="D56" s="110"/>
      <c r="E56" s="62" t="s">
        <v>62</v>
      </c>
      <c r="F56" s="17">
        <v>127.48399999999999</v>
      </c>
      <c r="G56" s="19">
        <v>3.02</v>
      </c>
      <c r="H56" s="18">
        <v>30.69</v>
      </c>
      <c r="I56" s="20">
        <v>169.71</v>
      </c>
      <c r="J56" s="19">
        <v>385.00167999999996</v>
      </c>
      <c r="K56" s="18">
        <v>3912.48396</v>
      </c>
      <c r="L56" s="20">
        <v>21635.309639999999</v>
      </c>
      <c r="M56" s="18">
        <v>331.45839999999998</v>
      </c>
      <c r="N56" s="18">
        <v>3838.54324</v>
      </c>
      <c r="O56" s="18">
        <v>8477.6859999999997</v>
      </c>
      <c r="P56" s="19">
        <f t="shared" si="1"/>
        <v>331.45839999999998</v>
      </c>
      <c r="Q56" s="18">
        <f t="shared" si="2"/>
        <v>3838.54324</v>
      </c>
      <c r="R56" s="20">
        <f t="shared" si="3"/>
        <v>8477.6859999999997</v>
      </c>
      <c r="S56" s="108"/>
      <c r="T56" s="108"/>
      <c r="U56" s="108"/>
      <c r="V56" s="109"/>
      <c r="W56" s="2"/>
    </row>
    <row r="57" spans="1:23" x14ac:dyDescent="0.25">
      <c r="A57" s="128"/>
      <c r="B57" s="91">
        <v>100000000</v>
      </c>
      <c r="C57" s="91">
        <v>1</v>
      </c>
      <c r="D57" s="110" t="s">
        <v>66</v>
      </c>
      <c r="E57" s="62" t="s">
        <v>59</v>
      </c>
      <c r="F57" s="17">
        <v>154.68799999999999</v>
      </c>
      <c r="G57" s="19">
        <v>3.14</v>
      </c>
      <c r="H57" s="18">
        <v>30.64</v>
      </c>
      <c r="I57" s="20">
        <v>170.13</v>
      </c>
      <c r="J57" s="19">
        <v>485.72031999999996</v>
      </c>
      <c r="K57" s="18">
        <v>4739.6403199999995</v>
      </c>
      <c r="L57" s="20">
        <v>26317.069439999996</v>
      </c>
      <c r="M57" s="18">
        <v>420.75135999999998</v>
      </c>
      <c r="N57" s="18">
        <v>4649.9212799999996</v>
      </c>
      <c r="O57" s="18">
        <v>10351.720959999999</v>
      </c>
      <c r="P57" s="19">
        <f t="shared" si="1"/>
        <v>420.75135999999998</v>
      </c>
      <c r="Q57" s="18">
        <f t="shared" si="2"/>
        <v>4649.9212799999996</v>
      </c>
      <c r="R57" s="20">
        <f t="shared" si="3"/>
        <v>10351.720959999999</v>
      </c>
      <c r="S57" s="108">
        <f t="shared" ref="S57" si="108">(F58-F57)/F57</f>
        <v>-0.16387825817128671</v>
      </c>
      <c r="T57" s="108">
        <f t="shared" ref="T57" si="109">(P58-P57)/P57</f>
        <v>-0.2653194989078585</v>
      </c>
      <c r="U57" s="108">
        <f t="shared" ref="U57" si="110">(Q58-Q57)/Q57</f>
        <v>-0.18724293758366589</v>
      </c>
      <c r="V57" s="109">
        <f t="shared" ref="V57" si="111">(R58-R57)/R57</f>
        <v>-0.16400320164735196</v>
      </c>
      <c r="W57" s="2"/>
    </row>
    <row r="58" spans="1:23" x14ac:dyDescent="0.25">
      <c r="A58" s="128"/>
      <c r="B58" s="91">
        <v>100000000</v>
      </c>
      <c r="C58" s="91">
        <v>1</v>
      </c>
      <c r="D58" s="110"/>
      <c r="E58" s="62" t="s">
        <v>62</v>
      </c>
      <c r="F58" s="17">
        <v>129.33799999999999</v>
      </c>
      <c r="G58" s="19">
        <v>2.81</v>
      </c>
      <c r="H58" s="18">
        <v>29.8</v>
      </c>
      <c r="I58" s="20">
        <v>170.12</v>
      </c>
      <c r="J58" s="19">
        <v>363.43977999999998</v>
      </c>
      <c r="K58" s="18">
        <v>3854.2723999999998</v>
      </c>
      <c r="L58" s="20">
        <v>22002.98056</v>
      </c>
      <c r="M58" s="18">
        <v>309.11781999999999</v>
      </c>
      <c r="N58" s="18">
        <v>3779.2563599999999</v>
      </c>
      <c r="O58" s="18">
        <v>8654.0055799999991</v>
      </c>
      <c r="P58" s="19">
        <f t="shared" si="1"/>
        <v>309.11781999999999</v>
      </c>
      <c r="Q58" s="18">
        <f t="shared" si="2"/>
        <v>3779.2563599999999</v>
      </c>
      <c r="R58" s="20">
        <f t="shared" si="3"/>
        <v>8654.0055799999991</v>
      </c>
      <c r="S58" s="108"/>
      <c r="T58" s="108"/>
      <c r="U58" s="108"/>
      <c r="V58" s="109"/>
      <c r="W58" s="2"/>
    </row>
    <row r="59" spans="1:23" x14ac:dyDescent="0.25">
      <c r="A59" s="128" t="s">
        <v>20</v>
      </c>
      <c r="B59" s="91">
        <v>100000000</v>
      </c>
      <c r="C59" s="91">
        <v>1</v>
      </c>
      <c r="D59" s="124" t="s">
        <v>115</v>
      </c>
      <c r="E59" s="62" t="s">
        <v>59</v>
      </c>
      <c r="F59" s="17">
        <v>198.58</v>
      </c>
      <c r="G59" s="19">
        <v>2.8</v>
      </c>
      <c r="H59" s="18">
        <v>24.36</v>
      </c>
      <c r="I59" s="20">
        <v>168.52</v>
      </c>
      <c r="J59" s="19">
        <v>556.024</v>
      </c>
      <c r="K59" s="18">
        <v>4837.4088000000002</v>
      </c>
      <c r="L59" s="20">
        <v>33464.701600000008</v>
      </c>
      <c r="M59" s="18">
        <v>472.62040000000002</v>
      </c>
      <c r="N59" s="18">
        <v>4722.2324000000008</v>
      </c>
      <c r="O59" s="18">
        <v>12319.903200000001</v>
      </c>
      <c r="P59" s="19">
        <f t="shared" si="1"/>
        <v>472.62040000000002</v>
      </c>
      <c r="Q59" s="18">
        <f t="shared" si="2"/>
        <v>4722.2324000000008</v>
      </c>
      <c r="R59" s="20">
        <f t="shared" si="3"/>
        <v>12319.903200000001</v>
      </c>
      <c r="S59" s="108">
        <f t="shared" ref="S59" si="112">(F60-F59)/F59</f>
        <v>0.19499949642461467</v>
      </c>
      <c r="T59" s="108">
        <f t="shared" ref="T59" si="113">(P60-P59)/P59</f>
        <v>0.39583974792454985</v>
      </c>
      <c r="U59" s="108">
        <f t="shared" ref="U59" si="114">(Q60-Q59)/Q59</f>
        <v>0.1563052318221356</v>
      </c>
      <c r="V59" s="109">
        <f t="shared" ref="V59" si="115">(R60-R59)/R59</f>
        <v>0.22620354517071195</v>
      </c>
      <c r="W59" s="2"/>
    </row>
    <row r="60" spans="1:23" x14ac:dyDescent="0.25">
      <c r="A60" s="128"/>
      <c r="B60" s="91">
        <v>100000000</v>
      </c>
      <c r="C60" s="91">
        <v>1</v>
      </c>
      <c r="D60" s="110"/>
      <c r="E60" s="62" t="s">
        <v>62</v>
      </c>
      <c r="F60" s="17">
        <v>237.303</v>
      </c>
      <c r="G60" s="19">
        <v>3.2</v>
      </c>
      <c r="H60" s="18">
        <v>23.59</v>
      </c>
      <c r="I60" s="20">
        <v>170.14</v>
      </c>
      <c r="J60" s="19">
        <v>759.36959999999999</v>
      </c>
      <c r="K60" s="18">
        <v>5597.9777699999995</v>
      </c>
      <c r="L60" s="20">
        <v>40374.732419999993</v>
      </c>
      <c r="M60" s="18">
        <v>659.70233999999994</v>
      </c>
      <c r="N60" s="18">
        <v>5460.3420300000007</v>
      </c>
      <c r="O60" s="18">
        <v>15106.708979999999</v>
      </c>
      <c r="P60" s="19">
        <f t="shared" si="1"/>
        <v>659.70233999999994</v>
      </c>
      <c r="Q60" s="18">
        <f t="shared" si="2"/>
        <v>5460.3420300000007</v>
      </c>
      <c r="R60" s="20">
        <f t="shared" si="3"/>
        <v>15106.708979999999</v>
      </c>
      <c r="S60" s="108"/>
      <c r="T60" s="108"/>
      <c r="U60" s="108"/>
      <c r="V60" s="109"/>
      <c r="W60" s="2"/>
    </row>
    <row r="61" spans="1:23" x14ac:dyDescent="0.25">
      <c r="A61" s="128"/>
      <c r="B61" s="91">
        <v>100000000</v>
      </c>
      <c r="C61" s="91">
        <v>1</v>
      </c>
      <c r="D61" s="110" t="s">
        <v>66</v>
      </c>
      <c r="E61" s="62" t="s">
        <v>59</v>
      </c>
      <c r="F61" s="17">
        <v>187.43700000000001</v>
      </c>
      <c r="G61" s="19">
        <v>2.88</v>
      </c>
      <c r="H61" s="18">
        <v>24.51</v>
      </c>
      <c r="I61" s="20">
        <v>171.24</v>
      </c>
      <c r="J61" s="19">
        <v>539.81856000000005</v>
      </c>
      <c r="K61" s="18">
        <v>4594.0808700000007</v>
      </c>
      <c r="L61" s="20">
        <v>32096.711880000003</v>
      </c>
      <c r="M61" s="18">
        <v>461.09502000000003</v>
      </c>
      <c r="N61" s="18">
        <v>4485.3674099999998</v>
      </c>
      <c r="O61" s="18">
        <v>12138.420120000002</v>
      </c>
      <c r="P61" s="19">
        <f t="shared" si="1"/>
        <v>461.09502000000003</v>
      </c>
      <c r="Q61" s="18">
        <f t="shared" si="2"/>
        <v>4485.3674099999998</v>
      </c>
      <c r="R61" s="20">
        <f t="shared" si="3"/>
        <v>12138.420120000002</v>
      </c>
      <c r="S61" s="108">
        <f t="shared" ref="S61" si="116">(F62-F61)/F61</f>
        <v>0.19599118637195426</v>
      </c>
      <c r="T61" s="108">
        <f t="shared" ref="T61" si="117">(P62-P61)/P61</f>
        <v>0.63841069027377484</v>
      </c>
      <c r="U61" s="108">
        <f t="shared" ref="U61" si="118">(Q62-Q61)/Q61</f>
        <v>0.10852839589343706</v>
      </c>
      <c r="V61" s="109">
        <f t="shared" ref="V61" si="119">(R62-R61)/R61</f>
        <v>0.17087463273597725</v>
      </c>
      <c r="W61" s="2"/>
    </row>
    <row r="62" spans="1:23" x14ac:dyDescent="0.25">
      <c r="A62" s="128"/>
      <c r="B62" s="91">
        <v>100000000</v>
      </c>
      <c r="C62" s="91">
        <v>1</v>
      </c>
      <c r="D62" s="110"/>
      <c r="E62" s="62" t="s">
        <v>62</v>
      </c>
      <c r="F62" s="17">
        <v>224.173</v>
      </c>
      <c r="G62" s="19">
        <v>3.79</v>
      </c>
      <c r="H62" s="18">
        <v>22.76</v>
      </c>
      <c r="I62" s="20">
        <v>169.88</v>
      </c>
      <c r="J62" s="19">
        <v>849.61567000000002</v>
      </c>
      <c r="K62" s="18">
        <v>5102.1774800000003</v>
      </c>
      <c r="L62" s="20">
        <v>38082.509239999999</v>
      </c>
      <c r="M62" s="18">
        <v>755.46301000000005</v>
      </c>
      <c r="N62" s="18">
        <v>4972.1571400000003</v>
      </c>
      <c r="O62" s="18">
        <v>14212.5682</v>
      </c>
      <c r="P62" s="19">
        <f t="shared" si="1"/>
        <v>755.46301000000005</v>
      </c>
      <c r="Q62" s="18">
        <f t="shared" si="2"/>
        <v>4972.1571400000003</v>
      </c>
      <c r="R62" s="20">
        <f t="shared" si="3"/>
        <v>14212.5682</v>
      </c>
      <c r="S62" s="108"/>
      <c r="T62" s="108"/>
      <c r="U62" s="108"/>
      <c r="V62" s="109"/>
      <c r="W62" s="2"/>
    </row>
    <row r="63" spans="1:23" x14ac:dyDescent="0.25">
      <c r="A63" s="128" t="s">
        <v>21</v>
      </c>
      <c r="B63" s="91">
        <v>100000000</v>
      </c>
      <c r="C63" s="91">
        <v>1</v>
      </c>
      <c r="D63" s="124" t="s">
        <v>115</v>
      </c>
      <c r="E63" s="62" t="s">
        <v>59</v>
      </c>
      <c r="F63" s="17">
        <v>5.3209999999999997</v>
      </c>
      <c r="G63" s="19">
        <v>9.81</v>
      </c>
      <c r="H63" s="18">
        <v>36.229999999999997</v>
      </c>
      <c r="I63" s="20">
        <v>158.25</v>
      </c>
      <c r="J63" s="19">
        <v>52.199010000000001</v>
      </c>
      <c r="K63" s="18">
        <v>192.77982999999998</v>
      </c>
      <c r="L63" s="20">
        <v>842.04824999999994</v>
      </c>
      <c r="M63" s="18">
        <v>22.454619999999998</v>
      </c>
      <c r="N63" s="18">
        <v>143.29452999999998</v>
      </c>
      <c r="O63" s="18">
        <v>317.71690999999998</v>
      </c>
      <c r="P63" s="19">
        <f t="shared" si="1"/>
        <v>22.454619999999998</v>
      </c>
      <c r="Q63" s="18">
        <f t="shared" si="2"/>
        <v>143.29452999999998</v>
      </c>
      <c r="R63" s="20">
        <f t="shared" si="3"/>
        <v>317.71690999999998</v>
      </c>
      <c r="S63" s="108">
        <f t="shared" ref="S63" si="120">(F64-F63)/F63</f>
        <v>7.8932531479046619E-3</v>
      </c>
      <c r="T63" s="108">
        <f t="shared" ref="T63" si="121">(P64-P63)/P63</f>
        <v>-2.3155591143381539E-2</v>
      </c>
      <c r="U63" s="108">
        <f t="shared" ref="U63" si="122">(Q64-Q63)/Q63</f>
        <v>-1.381406533801372E-2</v>
      </c>
      <c r="V63" s="109">
        <f t="shared" ref="V63" si="123">(R64-R63)/R63</f>
        <v>1.1944406736172947E-2</v>
      </c>
      <c r="W63" s="2"/>
    </row>
    <row r="64" spans="1:23" x14ac:dyDescent="0.25">
      <c r="A64" s="128"/>
      <c r="B64" s="91">
        <v>100000000</v>
      </c>
      <c r="C64" s="91">
        <v>1</v>
      </c>
      <c r="D64" s="110"/>
      <c r="E64" s="62" t="s">
        <v>62</v>
      </c>
      <c r="F64" s="17">
        <v>5.3630000000000004</v>
      </c>
      <c r="G64" s="19">
        <v>9.68</v>
      </c>
      <c r="H64" s="18">
        <v>35.65</v>
      </c>
      <c r="I64" s="20">
        <v>158.47999999999999</v>
      </c>
      <c r="J64" s="19">
        <v>51.91384</v>
      </c>
      <c r="K64" s="18">
        <v>191.19095000000002</v>
      </c>
      <c r="L64" s="20">
        <v>849.92823999999996</v>
      </c>
      <c r="M64" s="18">
        <v>21.934670000000001</v>
      </c>
      <c r="N64" s="18">
        <v>141.31505000000001</v>
      </c>
      <c r="O64" s="18">
        <v>321.51185000000004</v>
      </c>
      <c r="P64" s="19">
        <f t="shared" ref="P64:P94" si="124">M64*C64</f>
        <v>21.934670000000001</v>
      </c>
      <c r="Q64" s="18">
        <f t="shared" ref="Q64:Q94" si="125">N64*C64</f>
        <v>141.31505000000001</v>
      </c>
      <c r="R64" s="20">
        <f t="shared" ref="R64:R94" si="126">O64*C64</f>
        <v>321.51185000000004</v>
      </c>
      <c r="S64" s="108"/>
      <c r="T64" s="108"/>
      <c r="U64" s="108"/>
      <c r="V64" s="109"/>
      <c r="W64" s="2"/>
    </row>
    <row r="65" spans="1:23" x14ac:dyDescent="0.25">
      <c r="A65" s="128"/>
      <c r="B65" s="91">
        <v>100000000</v>
      </c>
      <c r="C65" s="91">
        <v>1</v>
      </c>
      <c r="D65" s="110" t="s">
        <v>66</v>
      </c>
      <c r="E65" s="62" t="s">
        <v>59</v>
      </c>
      <c r="F65" s="17">
        <v>3.0529999999999999</v>
      </c>
      <c r="G65" s="19">
        <v>9.84</v>
      </c>
      <c r="H65" s="18">
        <v>33.64</v>
      </c>
      <c r="I65" s="20">
        <v>155.41999999999999</v>
      </c>
      <c r="J65" s="19">
        <v>30.041519999999998</v>
      </c>
      <c r="K65" s="18">
        <v>102.70292000000001</v>
      </c>
      <c r="L65" s="20">
        <v>474.49725999999993</v>
      </c>
      <c r="M65" s="18">
        <v>12.975249999999999</v>
      </c>
      <c r="N65" s="18">
        <v>74.310019999999994</v>
      </c>
      <c r="O65" s="18">
        <v>173.68517</v>
      </c>
      <c r="P65" s="19">
        <f t="shared" si="124"/>
        <v>12.975249999999999</v>
      </c>
      <c r="Q65" s="18">
        <f t="shared" si="125"/>
        <v>74.310019999999994</v>
      </c>
      <c r="R65" s="20">
        <f t="shared" si="126"/>
        <v>173.68517</v>
      </c>
      <c r="S65" s="108">
        <f t="shared" ref="S65" si="127">(F66-F65)/F65</f>
        <v>0.19914837864395679</v>
      </c>
      <c r="T65" s="108">
        <f t="shared" ref="T65" si="128">(P66-P65)/P65</f>
        <v>0.14553939230457991</v>
      </c>
      <c r="U65" s="108">
        <f t="shared" ref="U65" si="129">(Q66-Q65)/Q65</f>
        <v>0.23314231378217923</v>
      </c>
      <c r="V65" s="109">
        <f t="shared" ref="V65" si="130">(R66-R65)/R65</f>
        <v>0.24636392387444478</v>
      </c>
      <c r="W65" s="2"/>
    </row>
    <row r="66" spans="1:23" x14ac:dyDescent="0.25">
      <c r="A66" s="128"/>
      <c r="B66" s="91">
        <v>100000000</v>
      </c>
      <c r="C66" s="91">
        <v>1</v>
      </c>
      <c r="D66" s="110"/>
      <c r="E66" s="62" t="s">
        <v>62</v>
      </c>
      <c r="F66" s="17">
        <v>3.661</v>
      </c>
      <c r="G66" s="19">
        <v>9.65</v>
      </c>
      <c r="H66" s="18">
        <v>34.33</v>
      </c>
      <c r="I66" s="20">
        <v>157.66</v>
      </c>
      <c r="J66" s="19">
        <v>35.328650000000003</v>
      </c>
      <c r="K66" s="18">
        <v>125.68213</v>
      </c>
      <c r="L66" s="20">
        <v>577.19326000000001</v>
      </c>
      <c r="M66" s="18">
        <v>14.863659999999999</v>
      </c>
      <c r="N66" s="18">
        <v>91.634830000000008</v>
      </c>
      <c r="O66" s="18">
        <v>216.47493</v>
      </c>
      <c r="P66" s="19">
        <f t="shared" si="124"/>
        <v>14.863659999999999</v>
      </c>
      <c r="Q66" s="18">
        <f t="shared" si="125"/>
        <v>91.634830000000008</v>
      </c>
      <c r="R66" s="20">
        <f t="shared" si="126"/>
        <v>216.47493</v>
      </c>
      <c r="S66" s="108"/>
      <c r="T66" s="108"/>
      <c r="U66" s="108"/>
      <c r="V66" s="109"/>
      <c r="W66" s="2"/>
    </row>
    <row r="67" spans="1:23" x14ac:dyDescent="0.25">
      <c r="A67" s="128" t="s">
        <v>23</v>
      </c>
      <c r="B67" s="91">
        <v>100000000</v>
      </c>
      <c r="C67" s="91">
        <v>1</v>
      </c>
      <c r="D67" s="124" t="s">
        <v>115</v>
      </c>
      <c r="E67" s="62" t="s">
        <v>59</v>
      </c>
      <c r="F67" s="17">
        <v>152.624</v>
      </c>
      <c r="G67" s="19">
        <v>3.76</v>
      </c>
      <c r="H67" s="18">
        <v>22.19</v>
      </c>
      <c r="I67" s="20">
        <v>171.38</v>
      </c>
      <c r="J67" s="19">
        <v>573.86623999999995</v>
      </c>
      <c r="K67" s="18">
        <v>3386.7265600000001</v>
      </c>
      <c r="L67" s="20">
        <v>26156.701119999998</v>
      </c>
      <c r="M67" s="18">
        <v>509.76415999999995</v>
      </c>
      <c r="N67" s="18">
        <v>3298.2046399999999</v>
      </c>
      <c r="O67" s="18">
        <v>10367.748320000001</v>
      </c>
      <c r="P67" s="19">
        <f t="shared" si="124"/>
        <v>509.76415999999995</v>
      </c>
      <c r="Q67" s="18">
        <f t="shared" si="125"/>
        <v>3298.2046399999999</v>
      </c>
      <c r="R67" s="20">
        <f t="shared" si="126"/>
        <v>10367.748320000001</v>
      </c>
      <c r="S67" s="108">
        <f t="shared" ref="S67" si="131">(F68-F67)/F67</f>
        <v>1.0826999685501626</v>
      </c>
      <c r="T67" s="108">
        <f t="shared" ref="T67" si="132">(P68-P67)/P67</f>
        <v>1.1512918836820547</v>
      </c>
      <c r="U67" s="108">
        <f t="shared" ref="U67" si="133">(Q68-Q67)/Q67</f>
        <v>1.1424535076756184</v>
      </c>
      <c r="V67" s="109">
        <f t="shared" ref="V67" si="134">(R68-R67)/R67</f>
        <v>1.0814735884715225</v>
      </c>
      <c r="W67" s="2"/>
    </row>
    <row r="68" spans="1:23" x14ac:dyDescent="0.25">
      <c r="A68" s="128"/>
      <c r="B68" s="91">
        <v>100000000</v>
      </c>
      <c r="C68" s="91">
        <v>1</v>
      </c>
      <c r="D68" s="110"/>
      <c r="E68" s="62" t="s">
        <v>62</v>
      </c>
      <c r="F68" s="17">
        <v>317.87</v>
      </c>
      <c r="G68" s="19">
        <v>3.87</v>
      </c>
      <c r="H68" s="18">
        <v>22.81</v>
      </c>
      <c r="I68" s="20">
        <v>171.34</v>
      </c>
      <c r="J68" s="19">
        <v>1230.1569</v>
      </c>
      <c r="K68" s="18">
        <v>7250.6147000000001</v>
      </c>
      <c r="L68" s="20">
        <v>54463.845800000003</v>
      </c>
      <c r="M68" s="18">
        <v>1096.6515000000002</v>
      </c>
      <c r="N68" s="18">
        <v>7066.2501000000002</v>
      </c>
      <c r="O68" s="18">
        <v>21580.194299999999</v>
      </c>
      <c r="P68" s="19">
        <f t="shared" si="124"/>
        <v>1096.6515000000002</v>
      </c>
      <c r="Q68" s="18">
        <f t="shared" si="125"/>
        <v>7066.2501000000002</v>
      </c>
      <c r="R68" s="20">
        <f t="shared" si="126"/>
        <v>21580.194299999999</v>
      </c>
      <c r="S68" s="108"/>
      <c r="T68" s="108"/>
      <c r="U68" s="108"/>
      <c r="V68" s="109"/>
      <c r="W68" s="2"/>
    </row>
    <row r="69" spans="1:23" x14ac:dyDescent="0.25">
      <c r="A69" s="128"/>
      <c r="B69" s="91">
        <v>100000000</v>
      </c>
      <c r="C69" s="91">
        <v>1</v>
      </c>
      <c r="D69" s="110" t="s">
        <v>66</v>
      </c>
      <c r="E69" s="62" t="s">
        <v>59</v>
      </c>
      <c r="F69" s="17">
        <v>382.637</v>
      </c>
      <c r="G69" s="19">
        <v>3.85</v>
      </c>
      <c r="H69" s="18">
        <v>23.75</v>
      </c>
      <c r="I69" s="20">
        <v>175.21</v>
      </c>
      <c r="J69" s="19">
        <v>1473.15245</v>
      </c>
      <c r="K69" s="18">
        <v>9087.6287499999999</v>
      </c>
      <c r="L69" s="20">
        <v>67041.828770000007</v>
      </c>
      <c r="M69" s="18">
        <v>1312.4449100000002</v>
      </c>
      <c r="N69" s="18">
        <v>8865.6992900000005</v>
      </c>
      <c r="O69" s="18">
        <v>27458.031120000003</v>
      </c>
      <c r="P69" s="19">
        <f t="shared" si="124"/>
        <v>1312.4449100000002</v>
      </c>
      <c r="Q69" s="18">
        <f t="shared" si="125"/>
        <v>8865.6992900000005</v>
      </c>
      <c r="R69" s="20">
        <f t="shared" si="126"/>
        <v>27458.031120000003</v>
      </c>
      <c r="S69" s="108">
        <f t="shared" ref="S69" si="135">(F70-F69)/F69</f>
        <v>7.2251245958963761E-2</v>
      </c>
      <c r="T69" s="108">
        <f t="shared" ref="T69" si="136">(P70-P69)/P69</f>
        <v>-9.0272741428821055E-3</v>
      </c>
      <c r="U69" s="108">
        <f t="shared" ref="U69" si="137">(Q70-Q69)/Q69</f>
        <v>8.3357862231305063E-2</v>
      </c>
      <c r="V69" s="109">
        <f t="shared" ref="V69" si="138">(R70-R69)/R69</f>
        <v>6.3136512680884521E-2</v>
      </c>
      <c r="W69" s="2"/>
    </row>
    <row r="70" spans="1:23" x14ac:dyDescent="0.25">
      <c r="A70" s="128"/>
      <c r="B70" s="91">
        <v>100000000</v>
      </c>
      <c r="C70" s="91">
        <v>1</v>
      </c>
      <c r="D70" s="110"/>
      <c r="E70" s="62" t="s">
        <v>62</v>
      </c>
      <c r="F70" s="17">
        <v>410.28300000000002</v>
      </c>
      <c r="G70" s="19">
        <v>3.59</v>
      </c>
      <c r="H70" s="18">
        <v>23.99</v>
      </c>
      <c r="I70" s="20">
        <v>174.59</v>
      </c>
      <c r="J70" s="19">
        <v>1472.91597</v>
      </c>
      <c r="K70" s="18">
        <v>9842.6891699999996</v>
      </c>
      <c r="L70" s="20">
        <v>71631.308969999998</v>
      </c>
      <c r="M70" s="18">
        <v>1300.5971099999999</v>
      </c>
      <c r="N70" s="18">
        <v>9604.7250299999996</v>
      </c>
      <c r="O70" s="18">
        <v>29191.635450000005</v>
      </c>
      <c r="P70" s="19">
        <f t="shared" si="124"/>
        <v>1300.5971099999999</v>
      </c>
      <c r="Q70" s="18">
        <f t="shared" si="125"/>
        <v>9604.7250299999996</v>
      </c>
      <c r="R70" s="20">
        <f t="shared" si="126"/>
        <v>29191.635450000005</v>
      </c>
      <c r="S70" s="108"/>
      <c r="T70" s="108"/>
      <c r="U70" s="108"/>
      <c r="V70" s="109"/>
      <c r="W70" s="2"/>
    </row>
    <row r="71" spans="1:23" x14ac:dyDescent="0.25">
      <c r="A71" s="128" t="s">
        <v>25</v>
      </c>
      <c r="B71" s="91">
        <v>100000000</v>
      </c>
      <c r="C71" s="91">
        <v>1</v>
      </c>
      <c r="D71" s="124" t="s">
        <v>115</v>
      </c>
      <c r="E71" s="62" t="s">
        <v>59</v>
      </c>
      <c r="F71" s="17">
        <v>9.5090000000000003</v>
      </c>
      <c r="G71" s="19">
        <v>9.01</v>
      </c>
      <c r="H71" s="18">
        <v>35.82</v>
      </c>
      <c r="I71" s="20">
        <v>158.31</v>
      </c>
      <c r="J71" s="19">
        <v>85.676090000000002</v>
      </c>
      <c r="K71" s="18">
        <v>340.61238000000003</v>
      </c>
      <c r="L71" s="20">
        <v>1505.36979</v>
      </c>
      <c r="M71" s="18">
        <v>49.06644</v>
      </c>
      <c r="N71" s="18">
        <v>268.81943000000001</v>
      </c>
      <c r="O71" s="18">
        <v>559.12919999999997</v>
      </c>
      <c r="P71" s="19">
        <f t="shared" si="124"/>
        <v>49.06644</v>
      </c>
      <c r="Q71" s="18">
        <f t="shared" si="125"/>
        <v>268.81943000000001</v>
      </c>
      <c r="R71" s="20">
        <f t="shared" si="126"/>
        <v>559.12919999999997</v>
      </c>
      <c r="S71" s="108">
        <f>(F72-F71)/F71</f>
        <v>-9.7591755179303907E-2</v>
      </c>
      <c r="T71" s="108">
        <f t="shared" ref="T71" si="139">(P72-P71)/P71</f>
        <v>-0.22001147831389442</v>
      </c>
      <c r="U71" s="108">
        <f t="shared" ref="U71" si="140">(Q72-Q71)/Q71</f>
        <v>-0.14483491762481612</v>
      </c>
      <c r="V71" s="109">
        <f t="shared" ref="V71" si="141">(R72-R71)/R71</f>
        <v>-0.10879512284459479</v>
      </c>
      <c r="W71" s="2"/>
    </row>
    <row r="72" spans="1:23" x14ac:dyDescent="0.25">
      <c r="A72" s="128"/>
      <c r="B72" s="91">
        <v>100000000</v>
      </c>
      <c r="C72" s="91">
        <v>1</v>
      </c>
      <c r="D72" s="110"/>
      <c r="E72" s="62" t="s">
        <v>62</v>
      </c>
      <c r="F72" s="17">
        <v>8.5809999999999995</v>
      </c>
      <c r="G72" s="19">
        <v>8.31</v>
      </c>
      <c r="H72" s="18">
        <v>34.340000000000003</v>
      </c>
      <c r="I72" s="20">
        <v>157.59</v>
      </c>
      <c r="J72" s="19">
        <v>71.308109999999999</v>
      </c>
      <c r="K72" s="18">
        <v>294.67153999999999</v>
      </c>
      <c r="L72" s="20">
        <v>1352.27979</v>
      </c>
      <c r="M72" s="18">
        <v>38.271259999999998</v>
      </c>
      <c r="N72" s="18">
        <v>229.88498999999999</v>
      </c>
      <c r="O72" s="18">
        <v>498.29866999999996</v>
      </c>
      <c r="P72" s="19">
        <f t="shared" si="124"/>
        <v>38.271259999999998</v>
      </c>
      <c r="Q72" s="18">
        <f t="shared" si="125"/>
        <v>229.88498999999999</v>
      </c>
      <c r="R72" s="20">
        <f t="shared" si="126"/>
        <v>498.29866999999996</v>
      </c>
      <c r="S72" s="108"/>
      <c r="T72" s="108"/>
      <c r="U72" s="108"/>
      <c r="V72" s="109"/>
      <c r="W72" s="2"/>
    </row>
    <row r="73" spans="1:23" x14ac:dyDescent="0.25">
      <c r="A73" s="128"/>
      <c r="B73" s="91">
        <v>100000000</v>
      </c>
      <c r="C73" s="91">
        <v>1</v>
      </c>
      <c r="D73" s="110" t="s">
        <v>66</v>
      </c>
      <c r="E73" s="62" t="s">
        <v>59</v>
      </c>
      <c r="F73" s="17">
        <v>4.2220000000000004</v>
      </c>
      <c r="G73" s="19">
        <v>8.41</v>
      </c>
      <c r="H73" s="18">
        <v>33.21</v>
      </c>
      <c r="I73" s="20">
        <v>156.86000000000001</v>
      </c>
      <c r="J73" s="19">
        <v>35.507020000000004</v>
      </c>
      <c r="K73" s="18">
        <v>140.21262000000002</v>
      </c>
      <c r="L73" s="20">
        <v>662.26292000000012</v>
      </c>
      <c r="M73" s="18">
        <v>19.252320000000001</v>
      </c>
      <c r="N73" s="18">
        <v>108.33652000000001</v>
      </c>
      <c r="O73" s="18">
        <v>242.13170000000002</v>
      </c>
      <c r="P73" s="19">
        <f t="shared" si="124"/>
        <v>19.252320000000001</v>
      </c>
      <c r="Q73" s="18">
        <f t="shared" si="125"/>
        <v>108.33652000000001</v>
      </c>
      <c r="R73" s="20">
        <f t="shared" si="126"/>
        <v>242.13170000000002</v>
      </c>
      <c r="S73" s="108">
        <f t="shared" ref="S73" si="142">(F74-F73)/F73</f>
        <v>0.20748460445286579</v>
      </c>
      <c r="T73" s="108">
        <f t="shared" ref="T73" si="143">(P74-P73)/P73</f>
        <v>0.1730607012557446</v>
      </c>
      <c r="U73" s="108">
        <f t="shared" ref="U73" si="144">(Q74-Q73)/Q73</f>
        <v>0.24983597405565522</v>
      </c>
      <c r="V73" s="109">
        <f t="shared" ref="V73" si="145">(R74-R73)/R73</f>
        <v>0.25506813027786102</v>
      </c>
      <c r="W73" s="2"/>
    </row>
    <row r="74" spans="1:23" x14ac:dyDescent="0.25">
      <c r="A74" s="128"/>
      <c r="B74" s="91">
        <v>100000000</v>
      </c>
      <c r="C74" s="91">
        <v>1</v>
      </c>
      <c r="D74" s="110"/>
      <c r="E74" s="62" t="s">
        <v>62</v>
      </c>
      <c r="F74" s="17">
        <v>5.0979999999999999</v>
      </c>
      <c r="G74" s="19">
        <v>8.2799999999999994</v>
      </c>
      <c r="H74" s="18">
        <v>34.11</v>
      </c>
      <c r="I74" s="20">
        <v>159.12</v>
      </c>
      <c r="J74" s="19">
        <v>42.211439999999996</v>
      </c>
      <c r="K74" s="18">
        <v>173.89277999999999</v>
      </c>
      <c r="L74" s="20">
        <v>811.19376</v>
      </c>
      <c r="M74" s="18">
        <v>22.584139999999998</v>
      </c>
      <c r="N74" s="18">
        <v>135.40287999999998</v>
      </c>
      <c r="O74" s="18">
        <v>303.89177999999998</v>
      </c>
      <c r="P74" s="19">
        <f t="shared" si="124"/>
        <v>22.584139999999998</v>
      </c>
      <c r="Q74" s="18">
        <f t="shared" si="125"/>
        <v>135.40287999999998</v>
      </c>
      <c r="R74" s="20">
        <f t="shared" si="126"/>
        <v>303.89177999999998</v>
      </c>
      <c r="S74" s="108"/>
      <c r="T74" s="108"/>
      <c r="U74" s="108"/>
      <c r="V74" s="109"/>
      <c r="W74" s="2"/>
    </row>
    <row r="75" spans="1:23" x14ac:dyDescent="0.25">
      <c r="A75" s="128" t="s">
        <v>26</v>
      </c>
      <c r="B75" s="91">
        <v>100000000</v>
      </c>
      <c r="C75" s="91">
        <v>1</v>
      </c>
      <c r="D75" s="124" t="s">
        <v>115</v>
      </c>
      <c r="E75" s="62" t="s">
        <v>59</v>
      </c>
      <c r="F75" s="17">
        <v>9.9280000000000008</v>
      </c>
      <c r="G75" s="19">
        <v>9.44</v>
      </c>
      <c r="H75" s="18">
        <v>38.31</v>
      </c>
      <c r="I75" s="20">
        <v>161.43</v>
      </c>
      <c r="J75" s="19">
        <v>93.720320000000001</v>
      </c>
      <c r="K75" s="18">
        <v>380.34168000000005</v>
      </c>
      <c r="L75" s="20">
        <v>1602.6770400000003</v>
      </c>
      <c r="M75" s="18">
        <v>44.775280000000002</v>
      </c>
      <c r="N75" s="18">
        <v>299.62704000000002</v>
      </c>
      <c r="O75" s="18">
        <v>609.18208000000004</v>
      </c>
      <c r="P75" s="19">
        <f t="shared" si="124"/>
        <v>44.775280000000002</v>
      </c>
      <c r="Q75" s="18">
        <f t="shared" si="125"/>
        <v>299.62704000000002</v>
      </c>
      <c r="R75" s="20">
        <f t="shared" si="126"/>
        <v>609.18208000000004</v>
      </c>
      <c r="S75" s="108">
        <f t="shared" ref="S75" si="146">(F76-F75)/F75</f>
        <v>-3.9987912973408563E-2</v>
      </c>
      <c r="T75" s="108">
        <f t="shared" ref="T75" si="147">(P76-P75)/P75</f>
        <v>-1.6572984021540345E-2</v>
      </c>
      <c r="U75" s="108">
        <f t="shared" ref="U75" si="148">(Q76-Q75)/Q75</f>
        <v>-5.302982668052935E-2</v>
      </c>
      <c r="V75" s="109">
        <f t="shared" ref="V75" si="149">(R76-R75)/R75</f>
        <v>-1.6832471500146422E-2</v>
      </c>
      <c r="W75" s="2"/>
    </row>
    <row r="76" spans="1:23" x14ac:dyDescent="0.25">
      <c r="A76" s="128"/>
      <c r="B76" s="91">
        <v>100000000</v>
      </c>
      <c r="C76" s="91">
        <v>1</v>
      </c>
      <c r="D76" s="110"/>
      <c r="E76" s="62" t="s">
        <v>62</v>
      </c>
      <c r="F76" s="17">
        <v>9.5310000000000006</v>
      </c>
      <c r="G76" s="19">
        <v>9.5500000000000007</v>
      </c>
      <c r="H76" s="18">
        <v>37.9</v>
      </c>
      <c r="I76" s="20">
        <v>162.91</v>
      </c>
      <c r="J76" s="19">
        <v>91.021050000000017</v>
      </c>
      <c r="K76" s="18">
        <v>361.22489999999999</v>
      </c>
      <c r="L76" s="20">
        <v>1552.6952100000001</v>
      </c>
      <c r="M76" s="18">
        <v>44.033220000000007</v>
      </c>
      <c r="N76" s="18">
        <v>283.73786999999999</v>
      </c>
      <c r="O76" s="18">
        <v>598.92804000000012</v>
      </c>
      <c r="P76" s="19">
        <f t="shared" si="124"/>
        <v>44.033220000000007</v>
      </c>
      <c r="Q76" s="18">
        <f t="shared" si="125"/>
        <v>283.73786999999999</v>
      </c>
      <c r="R76" s="20">
        <f t="shared" si="126"/>
        <v>598.92804000000012</v>
      </c>
      <c r="S76" s="108"/>
      <c r="T76" s="108"/>
      <c r="U76" s="108"/>
      <c r="V76" s="109"/>
      <c r="W76" s="2"/>
    </row>
    <row r="77" spans="1:23" x14ac:dyDescent="0.25">
      <c r="A77" s="128"/>
      <c r="B77" s="91">
        <v>100000000</v>
      </c>
      <c r="C77" s="91">
        <v>1</v>
      </c>
      <c r="D77" s="110" t="s">
        <v>66</v>
      </c>
      <c r="E77" s="62" t="s">
        <v>59</v>
      </c>
      <c r="F77" s="17">
        <v>5.7249999999999996</v>
      </c>
      <c r="G77" s="19">
        <v>9.77</v>
      </c>
      <c r="H77" s="18">
        <v>36.270000000000003</v>
      </c>
      <c r="I77" s="20">
        <v>159.43</v>
      </c>
      <c r="J77" s="19">
        <v>55.933249999999994</v>
      </c>
      <c r="K77" s="18">
        <v>207.64574999999999</v>
      </c>
      <c r="L77" s="20">
        <v>912.73675000000003</v>
      </c>
      <c r="M77" s="18">
        <v>27.708999999999996</v>
      </c>
      <c r="N77" s="18">
        <v>161.10149999999999</v>
      </c>
      <c r="O77" s="18">
        <v>339.83599999999996</v>
      </c>
      <c r="P77" s="19">
        <f t="shared" si="124"/>
        <v>27.708999999999996</v>
      </c>
      <c r="Q77" s="18">
        <f t="shared" si="125"/>
        <v>161.10149999999999</v>
      </c>
      <c r="R77" s="20">
        <f t="shared" si="126"/>
        <v>339.83599999999996</v>
      </c>
      <c r="S77" s="108">
        <f t="shared" ref="S77" si="150">(F78-F77)/F77</f>
        <v>-3.6157205240174649E-2</v>
      </c>
      <c r="T77" s="108">
        <f t="shared" ref="T77" si="151">(P78-P77)/P77</f>
        <v>-9.1916705763470372E-2</v>
      </c>
      <c r="U77" s="108">
        <f t="shared" ref="U77" si="152">(Q78-Q77)/Q77</f>
        <v>-3.7869790163344165E-2</v>
      </c>
      <c r="V77" s="109">
        <f t="shared" ref="V77" si="153">(R78-R77)/R77</f>
        <v>-3.6644322555585619E-2</v>
      </c>
      <c r="W77" s="2"/>
    </row>
    <row r="78" spans="1:23" x14ac:dyDescent="0.25">
      <c r="A78" s="128"/>
      <c r="B78" s="91">
        <v>100000000</v>
      </c>
      <c r="C78" s="91">
        <v>1</v>
      </c>
      <c r="D78" s="110"/>
      <c r="E78" s="62" t="s">
        <v>62</v>
      </c>
      <c r="F78" s="17">
        <v>5.5179999999999998</v>
      </c>
      <c r="G78" s="19">
        <v>9.49</v>
      </c>
      <c r="H78" s="18">
        <v>36.22</v>
      </c>
      <c r="I78" s="20">
        <v>159.41</v>
      </c>
      <c r="J78" s="19">
        <v>52.365819999999999</v>
      </c>
      <c r="K78" s="18">
        <v>199.86195999999998</v>
      </c>
      <c r="L78" s="20">
        <v>879.62437999999997</v>
      </c>
      <c r="M78" s="18">
        <v>25.162079999999996</v>
      </c>
      <c r="N78" s="18">
        <v>155.00062</v>
      </c>
      <c r="O78" s="18">
        <v>327.38293999999996</v>
      </c>
      <c r="P78" s="19">
        <f t="shared" si="124"/>
        <v>25.162079999999996</v>
      </c>
      <c r="Q78" s="18">
        <f t="shared" si="125"/>
        <v>155.00062</v>
      </c>
      <c r="R78" s="20">
        <f t="shared" si="126"/>
        <v>327.38293999999996</v>
      </c>
      <c r="S78" s="108"/>
      <c r="T78" s="108"/>
      <c r="U78" s="108"/>
      <c r="V78" s="109"/>
      <c r="W78" s="2"/>
    </row>
    <row r="79" spans="1:23" x14ac:dyDescent="0.25">
      <c r="A79" s="128" t="s">
        <v>29</v>
      </c>
      <c r="B79" s="91">
        <v>100000000</v>
      </c>
      <c r="C79" s="91">
        <v>1</v>
      </c>
      <c r="D79" s="124" t="s">
        <v>115</v>
      </c>
      <c r="E79" s="62" t="s">
        <v>59</v>
      </c>
      <c r="F79" s="17">
        <v>72.715999999999994</v>
      </c>
      <c r="G79" s="19">
        <v>7.98</v>
      </c>
      <c r="H79" s="18">
        <v>36.909999999999997</v>
      </c>
      <c r="I79" s="20">
        <v>162.15</v>
      </c>
      <c r="J79" s="19">
        <v>580.27368000000001</v>
      </c>
      <c r="K79" s="18">
        <v>2683.9475599999996</v>
      </c>
      <c r="L79" s="20">
        <v>11790.8994</v>
      </c>
      <c r="M79" s="18">
        <v>318.49607999999995</v>
      </c>
      <c r="N79" s="18">
        <v>2177.1170400000001</v>
      </c>
      <c r="O79" s="18">
        <v>4559.2932000000001</v>
      </c>
      <c r="P79" s="19">
        <f t="shared" si="124"/>
        <v>318.49607999999995</v>
      </c>
      <c r="Q79" s="18">
        <f t="shared" si="125"/>
        <v>2177.1170400000001</v>
      </c>
      <c r="R79" s="20">
        <f t="shared" si="126"/>
        <v>4559.2932000000001</v>
      </c>
      <c r="S79" s="108">
        <f t="shared" ref="S79" si="154">(F80-F79)/F79</f>
        <v>-0.13767258925133391</v>
      </c>
      <c r="T79" s="108">
        <f t="shared" ref="T79" si="155">(P80-P79)/P79</f>
        <v>-0.12979745308011317</v>
      </c>
      <c r="U79" s="108">
        <f t="shared" ref="U79" si="156">(Q80-Q79)/Q79</f>
        <v>-0.1457371074547284</v>
      </c>
      <c r="V79" s="109">
        <f t="shared" ref="V79" si="157">(R80-R79)/R79</f>
        <v>-0.15348880172918034</v>
      </c>
      <c r="W79" s="2"/>
    </row>
    <row r="80" spans="1:23" x14ac:dyDescent="0.25">
      <c r="A80" s="128"/>
      <c r="B80" s="91">
        <v>100000000</v>
      </c>
      <c r="C80" s="91">
        <v>1</v>
      </c>
      <c r="D80" s="110"/>
      <c r="E80" s="62" t="s">
        <v>62</v>
      </c>
      <c r="F80" s="17">
        <v>62.704999999999998</v>
      </c>
      <c r="G80" s="19">
        <v>8.02</v>
      </c>
      <c r="H80" s="18">
        <v>36.630000000000003</v>
      </c>
      <c r="I80" s="20">
        <v>161</v>
      </c>
      <c r="J80" s="19">
        <v>502.89409999999998</v>
      </c>
      <c r="K80" s="18">
        <v>2296.8841500000003</v>
      </c>
      <c r="L80" s="20">
        <v>10095.504999999999</v>
      </c>
      <c r="M80" s="18">
        <v>277.15609999999998</v>
      </c>
      <c r="N80" s="18">
        <v>1859.8302999999999</v>
      </c>
      <c r="O80" s="18">
        <v>3859.4927499999999</v>
      </c>
      <c r="P80" s="19">
        <f t="shared" si="124"/>
        <v>277.15609999999998</v>
      </c>
      <c r="Q80" s="18">
        <f t="shared" si="125"/>
        <v>1859.8302999999999</v>
      </c>
      <c r="R80" s="20">
        <f t="shared" si="126"/>
        <v>3859.4927499999999</v>
      </c>
      <c r="S80" s="108"/>
      <c r="T80" s="108"/>
      <c r="U80" s="108"/>
      <c r="V80" s="109"/>
      <c r="W80" s="2"/>
    </row>
    <row r="81" spans="1:23" x14ac:dyDescent="0.25">
      <c r="A81" s="128"/>
      <c r="B81" s="91">
        <v>100000000</v>
      </c>
      <c r="C81" s="91">
        <v>1</v>
      </c>
      <c r="D81" s="110" t="s">
        <v>66</v>
      </c>
      <c r="E81" s="62" t="s">
        <v>59</v>
      </c>
      <c r="F81" s="17">
        <v>49.709000000000003</v>
      </c>
      <c r="G81" s="19">
        <v>8.0299999999999994</v>
      </c>
      <c r="H81" s="18">
        <v>35.58</v>
      </c>
      <c r="I81" s="20">
        <v>159.9</v>
      </c>
      <c r="J81" s="19">
        <v>399.16327000000001</v>
      </c>
      <c r="K81" s="18">
        <v>1768.6462200000001</v>
      </c>
      <c r="L81" s="20">
        <v>7948.4691000000012</v>
      </c>
      <c r="M81" s="18">
        <v>220.21087</v>
      </c>
      <c r="N81" s="18">
        <v>1422.1744900000001</v>
      </c>
      <c r="O81" s="18">
        <v>3004.9090500000002</v>
      </c>
      <c r="P81" s="19">
        <f t="shared" si="124"/>
        <v>220.21087</v>
      </c>
      <c r="Q81" s="18">
        <f t="shared" si="125"/>
        <v>1422.1744900000001</v>
      </c>
      <c r="R81" s="20">
        <f t="shared" si="126"/>
        <v>3004.9090500000002</v>
      </c>
      <c r="S81" s="108">
        <f t="shared" ref="S81" si="158">(F82-F81)/F81</f>
        <v>-3.2388501076264127E-3</v>
      </c>
      <c r="T81" s="108">
        <f t="shared" ref="T81" si="159">(P82-P81)/P81</f>
        <v>-2.1239051460084667E-2</v>
      </c>
      <c r="U81" s="108">
        <f t="shared" ref="U81" si="160">(Q82-Q81)/Q81</f>
        <v>-1.1948751801897452E-2</v>
      </c>
      <c r="V81" s="109">
        <f t="shared" ref="V81" si="161">(R82-R81)/R81</f>
        <v>-2.1376770122210578E-2</v>
      </c>
      <c r="W81" s="2"/>
    </row>
    <row r="82" spans="1:23" x14ac:dyDescent="0.25">
      <c r="A82" s="128"/>
      <c r="B82" s="91">
        <v>100000000</v>
      </c>
      <c r="C82" s="91">
        <v>1</v>
      </c>
      <c r="D82" s="110"/>
      <c r="E82" s="62" t="s">
        <v>62</v>
      </c>
      <c r="F82" s="17">
        <v>49.548000000000002</v>
      </c>
      <c r="G82" s="19">
        <v>7.95</v>
      </c>
      <c r="H82" s="18">
        <v>35.33</v>
      </c>
      <c r="I82" s="20">
        <v>158.80000000000001</v>
      </c>
      <c r="J82" s="19">
        <v>393.90660000000003</v>
      </c>
      <c r="K82" s="18">
        <v>1750.5308399999999</v>
      </c>
      <c r="L82" s="20">
        <v>7868.2224000000006</v>
      </c>
      <c r="M82" s="18">
        <v>215.53379999999999</v>
      </c>
      <c r="N82" s="18">
        <v>1405.18128</v>
      </c>
      <c r="O82" s="18">
        <v>2940.6738</v>
      </c>
      <c r="P82" s="19">
        <f t="shared" si="124"/>
        <v>215.53379999999999</v>
      </c>
      <c r="Q82" s="18">
        <f t="shared" si="125"/>
        <v>1405.18128</v>
      </c>
      <c r="R82" s="20">
        <f t="shared" si="126"/>
        <v>2940.6738</v>
      </c>
      <c r="S82" s="108"/>
      <c r="T82" s="108"/>
      <c r="U82" s="108"/>
      <c r="V82" s="109"/>
      <c r="W82" s="2"/>
    </row>
    <row r="83" spans="1:23" x14ac:dyDescent="0.25">
      <c r="A83" s="128" t="s">
        <v>33</v>
      </c>
      <c r="B83" s="91">
        <v>100000000</v>
      </c>
      <c r="C83" s="91">
        <v>1</v>
      </c>
      <c r="D83" s="124" t="s">
        <v>115</v>
      </c>
      <c r="E83" s="62" t="s">
        <v>59</v>
      </c>
      <c r="F83" s="17">
        <v>201.61799999999999</v>
      </c>
      <c r="G83" s="19">
        <v>6.73</v>
      </c>
      <c r="H83" s="18">
        <v>35.159999999999997</v>
      </c>
      <c r="I83" s="20">
        <v>156.56</v>
      </c>
      <c r="J83" s="19">
        <v>1356.88914</v>
      </c>
      <c r="K83" s="18">
        <v>7088.8888799999995</v>
      </c>
      <c r="L83" s="20">
        <v>31565.31408</v>
      </c>
      <c r="M83" s="18">
        <v>1054.4621400000001</v>
      </c>
      <c r="N83" s="18">
        <v>6385.2420600000005</v>
      </c>
      <c r="O83" s="18">
        <v>12280.552379999999</v>
      </c>
      <c r="P83" s="19">
        <f t="shared" si="124"/>
        <v>1054.4621400000001</v>
      </c>
      <c r="Q83" s="18">
        <f t="shared" si="125"/>
        <v>6385.2420600000005</v>
      </c>
      <c r="R83" s="20">
        <f t="shared" si="126"/>
        <v>12280.552379999999</v>
      </c>
      <c r="S83" s="108">
        <f t="shared" ref="S83" si="162">(F84-F83)/F83</f>
        <v>-0.34348619666894814</v>
      </c>
      <c r="T83" s="108">
        <f t="shared" ref="T83" si="163">(P84-P83)/P83</f>
        <v>-0.41629269875919861</v>
      </c>
      <c r="U83" s="108">
        <f t="shared" ref="U83" si="164">(Q84-Q83)/Q83</f>
        <v>-0.37686122740349176</v>
      </c>
      <c r="V83" s="109">
        <f t="shared" ref="V83" si="165">(R84-R83)/R83</f>
        <v>-0.35275564127352382</v>
      </c>
      <c r="W83" s="2"/>
    </row>
    <row r="84" spans="1:23" x14ac:dyDescent="0.25">
      <c r="A84" s="128"/>
      <c r="B84" s="91">
        <v>100000000</v>
      </c>
      <c r="C84" s="91">
        <v>1</v>
      </c>
      <c r="D84" s="110"/>
      <c r="E84" s="62" t="s">
        <v>62</v>
      </c>
      <c r="F84" s="17">
        <v>132.36500000000001</v>
      </c>
      <c r="G84" s="19">
        <v>6.15</v>
      </c>
      <c r="H84" s="18">
        <v>33.549999999999997</v>
      </c>
      <c r="I84" s="20">
        <v>155.69999999999999</v>
      </c>
      <c r="J84" s="19">
        <v>814.04475000000014</v>
      </c>
      <c r="K84" s="18">
        <v>4440.8457499999995</v>
      </c>
      <c r="L84" s="20">
        <v>20609.230500000001</v>
      </c>
      <c r="M84" s="18">
        <v>615.49725000000012</v>
      </c>
      <c r="N84" s="18">
        <v>3978.8919000000001</v>
      </c>
      <c r="O84" s="18">
        <v>7948.5182500000001</v>
      </c>
      <c r="P84" s="19">
        <f t="shared" si="124"/>
        <v>615.49725000000012</v>
      </c>
      <c r="Q84" s="18">
        <f t="shared" si="125"/>
        <v>3978.8919000000001</v>
      </c>
      <c r="R84" s="20">
        <f t="shared" si="126"/>
        <v>7948.5182500000001</v>
      </c>
      <c r="S84" s="108"/>
      <c r="T84" s="108"/>
      <c r="U84" s="108"/>
      <c r="V84" s="109"/>
      <c r="W84" s="2"/>
    </row>
    <row r="85" spans="1:23" x14ac:dyDescent="0.25">
      <c r="A85" s="128"/>
      <c r="B85" s="91">
        <v>100000000</v>
      </c>
      <c r="C85" s="91">
        <v>1</v>
      </c>
      <c r="D85" s="110" t="s">
        <v>66</v>
      </c>
      <c r="E85" s="62" t="s">
        <v>59</v>
      </c>
      <c r="F85" s="17">
        <v>154.76</v>
      </c>
      <c r="G85" s="19">
        <v>6.54</v>
      </c>
      <c r="H85" s="18">
        <v>34.49</v>
      </c>
      <c r="I85" s="20">
        <v>155.5</v>
      </c>
      <c r="J85" s="19">
        <v>1012.1303999999999</v>
      </c>
      <c r="K85" s="18">
        <v>5337.6724000000004</v>
      </c>
      <c r="L85" s="20">
        <v>24065.18</v>
      </c>
      <c r="M85" s="18">
        <v>779.99039999999991</v>
      </c>
      <c r="N85" s="18">
        <v>4796.0123999999996</v>
      </c>
      <c r="O85" s="18">
        <v>9262.3860000000004</v>
      </c>
      <c r="P85" s="19">
        <f t="shared" si="124"/>
        <v>779.99039999999991</v>
      </c>
      <c r="Q85" s="18">
        <f t="shared" si="125"/>
        <v>4796.0123999999996</v>
      </c>
      <c r="R85" s="20">
        <f t="shared" si="126"/>
        <v>9262.3860000000004</v>
      </c>
      <c r="S85" s="108">
        <f t="shared" ref="S85" si="166">(F86-F85)/F85</f>
        <v>-2.9930214525717275E-2</v>
      </c>
      <c r="T85" s="108">
        <f t="shared" ref="T85" si="167">(P86-P85)/P85</f>
        <v>-0.2397270530509093</v>
      </c>
      <c r="U85" s="108">
        <f t="shared" ref="U85" si="168">(Q86-Q85)/Q85</f>
        <v>-7.6884221567066882E-2</v>
      </c>
      <c r="V85" s="109">
        <f t="shared" ref="V85" si="169">(R86-R85)/R85</f>
        <v>-1.5504782461020409E-2</v>
      </c>
      <c r="W85" s="2"/>
    </row>
    <row r="86" spans="1:23" x14ac:dyDescent="0.25">
      <c r="A86" s="128"/>
      <c r="B86" s="91">
        <v>100000000</v>
      </c>
      <c r="C86" s="91">
        <v>1</v>
      </c>
      <c r="D86" s="110"/>
      <c r="E86" s="62" t="s">
        <v>62</v>
      </c>
      <c r="F86" s="17">
        <v>150.12799999999999</v>
      </c>
      <c r="G86" s="19">
        <v>5.45</v>
      </c>
      <c r="H86" s="18">
        <v>32.979999999999997</v>
      </c>
      <c r="I86" s="20">
        <v>156.38999999999999</v>
      </c>
      <c r="J86" s="19">
        <v>818.19759999999997</v>
      </c>
      <c r="K86" s="18">
        <v>4951.2214399999993</v>
      </c>
      <c r="L86" s="20">
        <v>23478.517919999995</v>
      </c>
      <c r="M86" s="18">
        <v>593.00559999999996</v>
      </c>
      <c r="N86" s="18">
        <v>4427.2747199999994</v>
      </c>
      <c r="O86" s="18">
        <v>9118.7747199999994</v>
      </c>
      <c r="P86" s="19">
        <f t="shared" si="124"/>
        <v>593.00559999999996</v>
      </c>
      <c r="Q86" s="18">
        <f t="shared" si="125"/>
        <v>4427.2747199999994</v>
      </c>
      <c r="R86" s="20">
        <f t="shared" si="126"/>
        <v>9118.7747199999994</v>
      </c>
      <c r="S86" s="108"/>
      <c r="T86" s="108"/>
      <c r="U86" s="108"/>
      <c r="V86" s="109"/>
      <c r="W86" s="2"/>
    </row>
    <row r="87" spans="1:23" x14ac:dyDescent="0.25">
      <c r="A87" s="128" t="s">
        <v>37</v>
      </c>
      <c r="B87" s="91">
        <v>100000000</v>
      </c>
      <c r="C87" s="91">
        <v>1</v>
      </c>
      <c r="D87" s="124" t="s">
        <v>115</v>
      </c>
      <c r="E87" s="62" t="s">
        <v>59</v>
      </c>
      <c r="F87" s="17">
        <v>6.0030000000000001</v>
      </c>
      <c r="G87" s="19">
        <v>7.22</v>
      </c>
      <c r="H87" s="18">
        <v>33.15</v>
      </c>
      <c r="I87" s="20">
        <v>158.03</v>
      </c>
      <c r="J87" s="19">
        <v>43.341659999999997</v>
      </c>
      <c r="K87" s="18">
        <v>198.99945</v>
      </c>
      <c r="L87" s="20">
        <v>948.65409</v>
      </c>
      <c r="M87" s="18">
        <v>22.211100000000002</v>
      </c>
      <c r="N87" s="18">
        <v>167.60376000000002</v>
      </c>
      <c r="O87" s="18">
        <v>351.29556000000002</v>
      </c>
      <c r="P87" s="19">
        <f t="shared" si="124"/>
        <v>22.211100000000002</v>
      </c>
      <c r="Q87" s="18">
        <f t="shared" si="125"/>
        <v>167.60376000000002</v>
      </c>
      <c r="R87" s="20">
        <f t="shared" si="126"/>
        <v>351.29556000000002</v>
      </c>
      <c r="S87" s="108">
        <f t="shared" ref="S87" si="170">(F88-F87)/F87</f>
        <v>1.299350324837586E-2</v>
      </c>
      <c r="T87" s="108">
        <f t="shared" ref="T87" si="171">(P88-P87)/P87</f>
        <v>0.1361954158056107</v>
      </c>
      <c r="U87" s="108">
        <f t="shared" ref="U87" si="172">(Q88-Q87)/Q87</f>
        <v>3.5125524630235008E-2</v>
      </c>
      <c r="V87" s="109">
        <f t="shared" ref="V87" si="173">(R88-R87)/R87</f>
        <v>4.1901554349277857E-2</v>
      </c>
      <c r="W87" s="2"/>
    </row>
    <row r="88" spans="1:23" x14ac:dyDescent="0.25">
      <c r="A88" s="128"/>
      <c r="B88" s="91">
        <v>100000000</v>
      </c>
      <c r="C88" s="91">
        <v>1</v>
      </c>
      <c r="D88" s="110"/>
      <c r="E88" s="62" t="s">
        <v>62</v>
      </c>
      <c r="F88" s="17">
        <v>6.0810000000000004</v>
      </c>
      <c r="G88" s="19">
        <v>7.67</v>
      </c>
      <c r="H88" s="18">
        <v>33.76</v>
      </c>
      <c r="I88" s="20">
        <v>159.71</v>
      </c>
      <c r="J88" s="19">
        <v>46.641270000000006</v>
      </c>
      <c r="K88" s="18">
        <v>205.29455999999999</v>
      </c>
      <c r="L88" s="20">
        <v>971.1965100000001</v>
      </c>
      <c r="M88" s="18">
        <v>25.236150000000002</v>
      </c>
      <c r="N88" s="18">
        <v>173.49093000000002</v>
      </c>
      <c r="O88" s="18">
        <v>366.01539000000002</v>
      </c>
      <c r="P88" s="19">
        <f t="shared" si="124"/>
        <v>25.236150000000002</v>
      </c>
      <c r="Q88" s="18">
        <f t="shared" si="125"/>
        <v>173.49093000000002</v>
      </c>
      <c r="R88" s="20">
        <f t="shared" si="126"/>
        <v>366.01539000000002</v>
      </c>
      <c r="S88" s="108"/>
      <c r="T88" s="108"/>
      <c r="U88" s="108"/>
      <c r="V88" s="109"/>
      <c r="W88" s="2"/>
    </row>
    <row r="89" spans="1:23" x14ac:dyDescent="0.25">
      <c r="A89" s="128"/>
      <c r="B89" s="91">
        <v>100000000</v>
      </c>
      <c r="C89" s="91">
        <v>1</v>
      </c>
      <c r="D89" s="110" t="s">
        <v>66</v>
      </c>
      <c r="E89" s="62" t="s">
        <v>59</v>
      </c>
      <c r="F89" s="17">
        <v>2.5990000000000002</v>
      </c>
      <c r="G89" s="19">
        <v>7.27</v>
      </c>
      <c r="H89" s="18">
        <v>29.5</v>
      </c>
      <c r="I89" s="20">
        <v>154.75</v>
      </c>
      <c r="J89" s="19">
        <v>18.894729999999999</v>
      </c>
      <c r="K89" s="18">
        <v>76.670500000000004</v>
      </c>
      <c r="L89" s="20">
        <v>402.19525000000004</v>
      </c>
      <c r="M89" s="18">
        <v>9.7462499999999999</v>
      </c>
      <c r="N89" s="18">
        <v>63.077730000000003</v>
      </c>
      <c r="O89" s="18">
        <v>143.54276999999999</v>
      </c>
      <c r="P89" s="19">
        <f t="shared" si="124"/>
        <v>9.7462499999999999</v>
      </c>
      <c r="Q89" s="18">
        <f t="shared" si="125"/>
        <v>63.077730000000003</v>
      </c>
      <c r="R89" s="20">
        <f t="shared" si="126"/>
        <v>143.54276999999999</v>
      </c>
      <c r="S89" s="108">
        <f t="shared" ref="S89" si="174">(F90-F89)/F89</f>
        <v>-9.2343208926510267E-3</v>
      </c>
      <c r="T89" s="108">
        <f t="shared" ref="T89" si="175">(P90-P89)/P89</f>
        <v>0.14400410414261908</v>
      </c>
      <c r="U89" s="108">
        <f t="shared" ref="U89" si="176">(Q90-Q89)/Q89</f>
        <v>2.4240250877766253E-2</v>
      </c>
      <c r="V89" s="109">
        <f t="shared" ref="V89" si="177">(R90-R89)/R89</f>
        <v>-2.1073997666340032E-2</v>
      </c>
      <c r="W89" s="2"/>
    </row>
    <row r="90" spans="1:23" x14ac:dyDescent="0.25">
      <c r="A90" s="128"/>
      <c r="B90" s="91">
        <v>100000000</v>
      </c>
      <c r="C90" s="91">
        <v>1</v>
      </c>
      <c r="D90" s="110"/>
      <c r="E90" s="62" t="s">
        <v>62</v>
      </c>
      <c r="F90" s="17">
        <v>2.5750000000000002</v>
      </c>
      <c r="G90" s="19">
        <v>7.85</v>
      </c>
      <c r="H90" s="18">
        <v>30.32</v>
      </c>
      <c r="I90" s="20">
        <v>154.09</v>
      </c>
      <c r="J90" s="19">
        <v>20.213750000000001</v>
      </c>
      <c r="K90" s="18">
        <v>78.074000000000012</v>
      </c>
      <c r="L90" s="20">
        <v>396.78175000000005</v>
      </c>
      <c r="M90" s="18">
        <v>11.149750000000001</v>
      </c>
      <c r="N90" s="18">
        <v>64.606750000000005</v>
      </c>
      <c r="O90" s="18">
        <v>140.51775000000001</v>
      </c>
      <c r="P90" s="19">
        <f t="shared" si="124"/>
        <v>11.149750000000001</v>
      </c>
      <c r="Q90" s="18">
        <f t="shared" si="125"/>
        <v>64.606750000000005</v>
      </c>
      <c r="R90" s="20">
        <f t="shared" si="126"/>
        <v>140.51775000000001</v>
      </c>
      <c r="S90" s="108"/>
      <c r="T90" s="108"/>
      <c r="U90" s="108"/>
      <c r="V90" s="109"/>
      <c r="W90" s="2"/>
    </row>
    <row r="91" spans="1:23" x14ac:dyDescent="0.25">
      <c r="A91" s="128" t="s">
        <v>39</v>
      </c>
      <c r="B91" s="91">
        <v>100000000</v>
      </c>
      <c r="C91" s="91">
        <v>1</v>
      </c>
      <c r="D91" s="124" t="s">
        <v>115</v>
      </c>
      <c r="E91" s="62" t="s">
        <v>59</v>
      </c>
      <c r="F91" s="17">
        <v>91.29</v>
      </c>
      <c r="G91" s="19">
        <v>6.73</v>
      </c>
      <c r="H91" s="18">
        <v>35.53</v>
      </c>
      <c r="I91" s="20">
        <v>166.11</v>
      </c>
      <c r="J91" s="19">
        <v>614.38170000000014</v>
      </c>
      <c r="K91" s="18">
        <v>3243.5337000000004</v>
      </c>
      <c r="L91" s="20">
        <v>15164.181900000001</v>
      </c>
      <c r="M91" s="18">
        <v>415.36950000000002</v>
      </c>
      <c r="N91" s="18">
        <v>2766.9999000000003</v>
      </c>
      <c r="O91" s="18">
        <v>5814.2601000000004</v>
      </c>
      <c r="P91" s="19">
        <f t="shared" si="124"/>
        <v>415.36950000000002</v>
      </c>
      <c r="Q91" s="18">
        <f t="shared" si="125"/>
        <v>2766.9999000000003</v>
      </c>
      <c r="R91" s="20">
        <f t="shared" si="126"/>
        <v>5814.2601000000004</v>
      </c>
      <c r="S91" s="108">
        <f t="shared" ref="S91" si="178">(F92-F91)/F91</f>
        <v>-0.40429400810603577</v>
      </c>
      <c r="T91" s="108">
        <f t="shared" ref="T91" si="179">(P92-P91)/P91</f>
        <v>-0.26027717490090146</v>
      </c>
      <c r="U91" s="108">
        <f t="shared" ref="U91" si="180">(Q92-Q91)/Q91</f>
        <v>-0.36596914224680682</v>
      </c>
      <c r="V91" s="109">
        <f t="shared" ref="V91" si="181">(R92-R91)/R91</f>
        <v>-0.37595377957033616</v>
      </c>
      <c r="W91" s="2"/>
    </row>
    <row r="92" spans="1:23" x14ac:dyDescent="0.25">
      <c r="A92" s="128"/>
      <c r="B92" s="91">
        <v>100000000</v>
      </c>
      <c r="C92" s="91">
        <v>1</v>
      </c>
      <c r="D92" s="110"/>
      <c r="E92" s="62" t="s">
        <v>62</v>
      </c>
      <c r="F92" s="17">
        <v>54.381999999999998</v>
      </c>
      <c r="G92" s="19">
        <v>7.83</v>
      </c>
      <c r="H92" s="18">
        <v>37.49</v>
      </c>
      <c r="I92" s="20">
        <v>169.15</v>
      </c>
      <c r="J92" s="19">
        <v>425.81106</v>
      </c>
      <c r="K92" s="18">
        <v>2038.7811799999999</v>
      </c>
      <c r="L92" s="20">
        <v>9198.7152999999998</v>
      </c>
      <c r="M92" s="18">
        <v>307.25830000000002</v>
      </c>
      <c r="N92" s="18">
        <v>1754.3633199999999</v>
      </c>
      <c r="O92" s="18">
        <v>3628.3670399999996</v>
      </c>
      <c r="P92" s="19">
        <f t="shared" si="124"/>
        <v>307.25830000000002</v>
      </c>
      <c r="Q92" s="18">
        <f t="shared" si="125"/>
        <v>1754.3633199999999</v>
      </c>
      <c r="R92" s="20">
        <f t="shared" si="126"/>
        <v>3628.3670399999996</v>
      </c>
      <c r="S92" s="108"/>
      <c r="T92" s="108"/>
      <c r="U92" s="108"/>
      <c r="V92" s="109"/>
      <c r="W92" s="2"/>
    </row>
    <row r="93" spans="1:23" x14ac:dyDescent="0.25">
      <c r="A93" s="128"/>
      <c r="B93" s="91">
        <v>100000000</v>
      </c>
      <c r="C93" s="91">
        <v>1</v>
      </c>
      <c r="D93" s="110" t="s">
        <v>66</v>
      </c>
      <c r="E93" s="62" t="s">
        <v>59</v>
      </c>
      <c r="F93" s="17">
        <v>78.070999999999998</v>
      </c>
      <c r="G93" s="19">
        <v>6.8</v>
      </c>
      <c r="H93" s="18">
        <v>36.630000000000003</v>
      </c>
      <c r="I93" s="20">
        <v>169.65</v>
      </c>
      <c r="J93" s="19">
        <v>530.88279999999997</v>
      </c>
      <c r="K93" s="18">
        <v>2859.74073</v>
      </c>
      <c r="L93" s="20">
        <v>13244.745150000001</v>
      </c>
      <c r="M93" s="18">
        <v>360.68801999999999</v>
      </c>
      <c r="N93" s="18">
        <v>2451.4294</v>
      </c>
      <c r="O93" s="18">
        <v>5248.7133300000005</v>
      </c>
      <c r="P93" s="19">
        <f t="shared" si="124"/>
        <v>360.68801999999999</v>
      </c>
      <c r="Q93" s="18">
        <f t="shared" si="125"/>
        <v>2451.4294</v>
      </c>
      <c r="R93" s="20">
        <f t="shared" si="126"/>
        <v>5248.7133300000005</v>
      </c>
      <c r="S93" s="108">
        <f t="shared" ref="S93" si="182">(F94-F93)/F93</f>
        <v>-0.33947304376785237</v>
      </c>
      <c r="T93" s="108">
        <f t="shared" ref="T93" si="183">(P94-P93)/P93</f>
        <v>-0.19793155314667774</v>
      </c>
      <c r="U93" s="108">
        <f t="shared" ref="U93" si="184">(Q94-Q93)/Q93</f>
        <v>-0.29172157272813976</v>
      </c>
      <c r="V93" s="109">
        <f t="shared" ref="V93" si="185">(R94-R93)/R93</f>
        <v>-0.32768318288017462</v>
      </c>
      <c r="W93" s="2"/>
    </row>
    <row r="94" spans="1:23" x14ac:dyDescent="0.25">
      <c r="A94" s="128"/>
      <c r="B94" s="91">
        <v>100000000</v>
      </c>
      <c r="C94" s="91">
        <v>1</v>
      </c>
      <c r="D94" s="110"/>
      <c r="E94" s="62" t="s">
        <v>62</v>
      </c>
      <c r="F94" s="17">
        <v>51.567999999999998</v>
      </c>
      <c r="G94" s="19">
        <v>7.79</v>
      </c>
      <c r="H94" s="18">
        <v>38.89</v>
      </c>
      <c r="I94" s="20">
        <v>170.86</v>
      </c>
      <c r="J94" s="19">
        <v>401.71472</v>
      </c>
      <c r="K94" s="18">
        <v>2005.4795199999999</v>
      </c>
      <c r="L94" s="20">
        <v>8810.9084800000001</v>
      </c>
      <c r="M94" s="18">
        <v>289.29648000000003</v>
      </c>
      <c r="N94" s="18">
        <v>1736.29456</v>
      </c>
      <c r="O94" s="18">
        <v>3528.7982400000001</v>
      </c>
      <c r="P94" s="19">
        <f t="shared" si="124"/>
        <v>289.29648000000003</v>
      </c>
      <c r="Q94" s="18">
        <f t="shared" si="125"/>
        <v>1736.29456</v>
      </c>
      <c r="R94" s="20">
        <f t="shared" si="126"/>
        <v>3528.7982400000001</v>
      </c>
      <c r="S94" s="108"/>
      <c r="T94" s="108"/>
      <c r="U94" s="108"/>
      <c r="V94" s="109"/>
      <c r="W94" s="2"/>
    </row>
    <row r="95" spans="1:23" x14ac:dyDescent="0.25"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</sheetData>
  <mergeCells count="264">
    <mergeCell ref="D93:D94"/>
    <mergeCell ref="S93:S94"/>
    <mergeCell ref="T93:T94"/>
    <mergeCell ref="U93:U94"/>
    <mergeCell ref="V93:V94"/>
    <mergeCell ref="A91:A94"/>
    <mergeCell ref="D91:D92"/>
    <mergeCell ref="S91:S92"/>
    <mergeCell ref="T91:T92"/>
    <mergeCell ref="U91:U92"/>
    <mergeCell ref="V91:V92"/>
    <mergeCell ref="D89:D90"/>
    <mergeCell ref="S89:S90"/>
    <mergeCell ref="T89:T90"/>
    <mergeCell ref="U89:U90"/>
    <mergeCell ref="V89:V90"/>
    <mergeCell ref="A87:A90"/>
    <mergeCell ref="D87:D88"/>
    <mergeCell ref="S87:S88"/>
    <mergeCell ref="T87:T88"/>
    <mergeCell ref="U87:U88"/>
    <mergeCell ref="V87:V88"/>
    <mergeCell ref="D85:D86"/>
    <mergeCell ref="S85:S86"/>
    <mergeCell ref="T85:T86"/>
    <mergeCell ref="U85:U86"/>
    <mergeCell ref="V85:V86"/>
    <mergeCell ref="A83:A86"/>
    <mergeCell ref="D83:D84"/>
    <mergeCell ref="S83:S84"/>
    <mergeCell ref="T83:T84"/>
    <mergeCell ref="U83:U84"/>
    <mergeCell ref="V83:V84"/>
    <mergeCell ref="D81:D82"/>
    <mergeCell ref="S81:S82"/>
    <mergeCell ref="T81:T82"/>
    <mergeCell ref="U81:U82"/>
    <mergeCell ref="V81:V82"/>
    <mergeCell ref="A79:A82"/>
    <mergeCell ref="D79:D80"/>
    <mergeCell ref="S79:S80"/>
    <mergeCell ref="T79:T80"/>
    <mergeCell ref="U79:U80"/>
    <mergeCell ref="V79:V80"/>
    <mergeCell ref="D77:D78"/>
    <mergeCell ref="S77:S78"/>
    <mergeCell ref="T77:T78"/>
    <mergeCell ref="U77:U78"/>
    <mergeCell ref="V77:V78"/>
    <mergeCell ref="A75:A78"/>
    <mergeCell ref="D75:D76"/>
    <mergeCell ref="S75:S76"/>
    <mergeCell ref="T75:T76"/>
    <mergeCell ref="U75:U76"/>
    <mergeCell ref="V75:V76"/>
    <mergeCell ref="D73:D74"/>
    <mergeCell ref="S73:S74"/>
    <mergeCell ref="T73:T74"/>
    <mergeCell ref="U73:U74"/>
    <mergeCell ref="V73:V74"/>
    <mergeCell ref="A71:A74"/>
    <mergeCell ref="D71:D72"/>
    <mergeCell ref="S71:S72"/>
    <mergeCell ref="T71:T72"/>
    <mergeCell ref="U71:U72"/>
    <mergeCell ref="V71:V72"/>
    <mergeCell ref="D69:D70"/>
    <mergeCell ref="S69:S70"/>
    <mergeCell ref="T69:T70"/>
    <mergeCell ref="U69:U70"/>
    <mergeCell ref="V69:V70"/>
    <mergeCell ref="A67:A70"/>
    <mergeCell ref="D67:D68"/>
    <mergeCell ref="S67:S68"/>
    <mergeCell ref="T67:T68"/>
    <mergeCell ref="U67:U68"/>
    <mergeCell ref="V67:V68"/>
    <mergeCell ref="D65:D66"/>
    <mergeCell ref="S65:S66"/>
    <mergeCell ref="T65:T66"/>
    <mergeCell ref="U65:U66"/>
    <mergeCell ref="V65:V66"/>
    <mergeCell ref="A63:A66"/>
    <mergeCell ref="D63:D64"/>
    <mergeCell ref="S63:S64"/>
    <mergeCell ref="T63:T64"/>
    <mergeCell ref="U63:U64"/>
    <mergeCell ref="V63:V64"/>
    <mergeCell ref="D61:D62"/>
    <mergeCell ref="S61:S62"/>
    <mergeCell ref="T61:T62"/>
    <mergeCell ref="U61:U62"/>
    <mergeCell ref="V61:V62"/>
    <mergeCell ref="A59:A62"/>
    <mergeCell ref="D59:D60"/>
    <mergeCell ref="S59:S60"/>
    <mergeCell ref="T59:T60"/>
    <mergeCell ref="U59:U60"/>
    <mergeCell ref="V59:V60"/>
    <mergeCell ref="D57:D58"/>
    <mergeCell ref="S57:S58"/>
    <mergeCell ref="T57:T58"/>
    <mergeCell ref="U57:U58"/>
    <mergeCell ref="V57:V58"/>
    <mergeCell ref="V55:V56"/>
    <mergeCell ref="A55:A58"/>
    <mergeCell ref="D55:D56"/>
    <mergeCell ref="S55:S56"/>
    <mergeCell ref="T55:T56"/>
    <mergeCell ref="U55:U56"/>
    <mergeCell ref="D53:D54"/>
    <mergeCell ref="S53:S54"/>
    <mergeCell ref="T53:T54"/>
    <mergeCell ref="U53:U54"/>
    <mergeCell ref="V53:V54"/>
    <mergeCell ref="A51:A54"/>
    <mergeCell ref="D51:D52"/>
    <mergeCell ref="S51:S52"/>
    <mergeCell ref="T51:T52"/>
    <mergeCell ref="U51:U52"/>
    <mergeCell ref="V51:V52"/>
    <mergeCell ref="D49:D50"/>
    <mergeCell ref="S49:S50"/>
    <mergeCell ref="T49:T50"/>
    <mergeCell ref="U49:U50"/>
    <mergeCell ref="V49:V50"/>
    <mergeCell ref="V47:V48"/>
    <mergeCell ref="A47:A50"/>
    <mergeCell ref="D47:D48"/>
    <mergeCell ref="S47:S48"/>
    <mergeCell ref="T47:T48"/>
    <mergeCell ref="U47:U48"/>
    <mergeCell ref="D45:D46"/>
    <mergeCell ref="S45:S46"/>
    <mergeCell ref="T45:T46"/>
    <mergeCell ref="U45:U46"/>
    <mergeCell ref="V45:V46"/>
    <mergeCell ref="A43:A46"/>
    <mergeCell ref="D43:D44"/>
    <mergeCell ref="S43:S44"/>
    <mergeCell ref="T43:T44"/>
    <mergeCell ref="U43:U44"/>
    <mergeCell ref="V43:V44"/>
    <mergeCell ref="D41:D42"/>
    <mergeCell ref="S41:S42"/>
    <mergeCell ref="T41:T42"/>
    <mergeCell ref="U41:U42"/>
    <mergeCell ref="V41:V42"/>
    <mergeCell ref="A39:A42"/>
    <mergeCell ref="D39:D40"/>
    <mergeCell ref="S39:S40"/>
    <mergeCell ref="T39:T40"/>
    <mergeCell ref="U39:U40"/>
    <mergeCell ref="V39:V40"/>
    <mergeCell ref="D37:D38"/>
    <mergeCell ref="S37:S38"/>
    <mergeCell ref="T37:T38"/>
    <mergeCell ref="U37:U38"/>
    <mergeCell ref="V37:V38"/>
    <mergeCell ref="V35:V36"/>
    <mergeCell ref="A35:A38"/>
    <mergeCell ref="D35:D36"/>
    <mergeCell ref="S35:S36"/>
    <mergeCell ref="T35:T36"/>
    <mergeCell ref="U35:U36"/>
    <mergeCell ref="D33:D34"/>
    <mergeCell ref="S33:S34"/>
    <mergeCell ref="T33:T34"/>
    <mergeCell ref="U33:U34"/>
    <mergeCell ref="V33:V34"/>
    <mergeCell ref="A31:A34"/>
    <mergeCell ref="D31:D32"/>
    <mergeCell ref="S31:S32"/>
    <mergeCell ref="T31:T32"/>
    <mergeCell ref="U31:U32"/>
    <mergeCell ref="V31:V32"/>
    <mergeCell ref="D29:D30"/>
    <mergeCell ref="S29:S30"/>
    <mergeCell ref="T29:T30"/>
    <mergeCell ref="U29:U30"/>
    <mergeCell ref="V29:V30"/>
    <mergeCell ref="V27:V28"/>
    <mergeCell ref="A27:A30"/>
    <mergeCell ref="D27:D28"/>
    <mergeCell ref="S27:S28"/>
    <mergeCell ref="T27:T28"/>
    <mergeCell ref="U27:U28"/>
    <mergeCell ref="D25:D26"/>
    <mergeCell ref="S25:S26"/>
    <mergeCell ref="T25:T26"/>
    <mergeCell ref="U25:U26"/>
    <mergeCell ref="V25:V26"/>
    <mergeCell ref="A23:A26"/>
    <mergeCell ref="D23:D24"/>
    <mergeCell ref="S23:S24"/>
    <mergeCell ref="T23:T24"/>
    <mergeCell ref="U23:U24"/>
    <mergeCell ref="V23:V24"/>
    <mergeCell ref="D21:D22"/>
    <mergeCell ref="S21:S22"/>
    <mergeCell ref="T21:T22"/>
    <mergeCell ref="U21:U22"/>
    <mergeCell ref="V21:V22"/>
    <mergeCell ref="V19:V20"/>
    <mergeCell ref="A19:A22"/>
    <mergeCell ref="D19:D20"/>
    <mergeCell ref="S19:S20"/>
    <mergeCell ref="T19:T20"/>
    <mergeCell ref="U19:U20"/>
    <mergeCell ref="D17:D18"/>
    <mergeCell ref="S17:S18"/>
    <mergeCell ref="T17:T18"/>
    <mergeCell ref="U17:U18"/>
    <mergeCell ref="V17:V18"/>
    <mergeCell ref="A15:A18"/>
    <mergeCell ref="D15:D16"/>
    <mergeCell ref="S15:S16"/>
    <mergeCell ref="T15:T16"/>
    <mergeCell ref="U15:U16"/>
    <mergeCell ref="V15:V16"/>
    <mergeCell ref="D13:D14"/>
    <mergeCell ref="S13:S14"/>
    <mergeCell ref="T13:T14"/>
    <mergeCell ref="U13:U14"/>
    <mergeCell ref="V13:V14"/>
    <mergeCell ref="V11:V12"/>
    <mergeCell ref="A11:A14"/>
    <mergeCell ref="D11:D12"/>
    <mergeCell ref="S11:S12"/>
    <mergeCell ref="T11:T12"/>
    <mergeCell ref="U11:U12"/>
    <mergeCell ref="D9:D10"/>
    <mergeCell ref="S9:S10"/>
    <mergeCell ref="T9:T10"/>
    <mergeCell ref="U9:U10"/>
    <mergeCell ref="V9:V10"/>
    <mergeCell ref="A7:A10"/>
    <mergeCell ref="D7:D8"/>
    <mergeCell ref="S7:S8"/>
    <mergeCell ref="T7:T8"/>
    <mergeCell ref="U7:U8"/>
    <mergeCell ref="V7:V8"/>
    <mergeCell ref="M1:O1"/>
    <mergeCell ref="S1:V1"/>
    <mergeCell ref="A1:A2"/>
    <mergeCell ref="D1:D2"/>
    <mergeCell ref="E1:E2"/>
    <mergeCell ref="F1:F2"/>
    <mergeCell ref="G1:I1"/>
    <mergeCell ref="J1:L1"/>
    <mergeCell ref="D5:D6"/>
    <mergeCell ref="S5:S6"/>
    <mergeCell ref="T5:T6"/>
    <mergeCell ref="U5:U6"/>
    <mergeCell ref="V5:V6"/>
    <mergeCell ref="V3:V4"/>
    <mergeCell ref="A3:A6"/>
    <mergeCell ref="D3:D4"/>
    <mergeCell ref="S3:S4"/>
    <mergeCell ref="T3:T4"/>
    <mergeCell ref="U3:U4"/>
    <mergeCell ref="B1:B2"/>
    <mergeCell ref="P1:R1"/>
    <mergeCell ref="C1:C2"/>
  </mergeCells>
  <phoneticPr fontId="2" type="noConversion"/>
  <conditionalFormatting sqref="S3:V94">
    <cfRule type="colorScale" priority="15">
      <colorScale>
        <cfvo type="num" val="-1"/>
        <cfvo type="num" val="0"/>
        <cfvo type="num" val="1"/>
        <color rgb="FF92D050"/>
        <color rgb="FFFFC000"/>
        <color rgb="FFFF00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AA87-4905-4EEE-9C97-5DDDADC1A0D1}">
  <dimension ref="A1:S55"/>
  <sheetViews>
    <sheetView tabSelected="1" zoomScale="115" zoomScaleNormal="115" workbookViewId="0">
      <selection activeCell="D22" sqref="D22"/>
    </sheetView>
  </sheetViews>
  <sheetFormatPr baseColWidth="10" defaultColWidth="9.140625" defaultRowHeight="15" x14ac:dyDescent="0.25"/>
  <cols>
    <col min="1" max="1" width="10.28515625" bestFit="1" customWidth="1"/>
    <col min="2" max="9" width="15.7109375" customWidth="1"/>
    <col min="10" max="10" width="18.42578125" bestFit="1" customWidth="1"/>
    <col min="11" max="12" width="18.42578125" customWidth="1"/>
    <col min="14" max="14" width="15.140625" customWidth="1"/>
    <col min="15" max="15" width="63.85546875" bestFit="1" customWidth="1"/>
    <col min="18" max="18" width="15.140625" customWidth="1"/>
    <col min="19" max="19" width="62.85546875" bestFit="1" customWidth="1"/>
  </cols>
  <sheetData>
    <row r="1" spans="1:19" x14ac:dyDescent="0.25">
      <c r="B1" s="112" t="s">
        <v>115</v>
      </c>
      <c r="C1" s="113"/>
      <c r="D1" s="113"/>
      <c r="E1" s="114"/>
      <c r="F1" s="112" t="s">
        <v>66</v>
      </c>
      <c r="G1" s="113"/>
      <c r="H1" s="113"/>
      <c r="I1" s="114"/>
    </row>
    <row r="2" spans="1:19" x14ac:dyDescent="0.25">
      <c r="A2" s="85" t="s">
        <v>45</v>
      </c>
      <c r="B2" s="86" t="s">
        <v>95</v>
      </c>
      <c r="C2" s="86" t="s">
        <v>96</v>
      </c>
      <c r="D2" s="86" t="s">
        <v>94</v>
      </c>
      <c r="E2" s="34" t="s">
        <v>185</v>
      </c>
      <c r="F2" s="89" t="s">
        <v>95</v>
      </c>
      <c r="G2" s="86" t="s">
        <v>96</v>
      </c>
      <c r="H2" s="86" t="s">
        <v>94</v>
      </c>
      <c r="I2" s="34" t="s">
        <v>185</v>
      </c>
      <c r="J2" s="87" t="s">
        <v>177</v>
      </c>
    </row>
    <row r="3" spans="1:19" x14ac:dyDescent="0.25">
      <c r="A3" s="88" t="s">
        <v>101</v>
      </c>
      <c r="B3" s="61" cm="1">
        <f t="array" aca="1" ref="B3" ca="1">INDIRECT("'Python Impact of Technique'!R" &amp; 3 + (ROW(A1)-1)*4)</f>
        <v>5830.4248499999994</v>
      </c>
      <c r="C3" s="46" cm="1">
        <f t="array" aca="1" ref="C3" ca="1">INDIRECT("'Python Impact of Technique'!R" &amp; 4 + (ROW(A1)-1)*4)</f>
        <v>2901.1254300000001</v>
      </c>
      <c r="D3" s="46" cm="1">
        <f t="array" aca="1" ref="D3" ca="1">INDIRECT("'Python Impact of Technique'!V" &amp; 3 + (ROW(A1)-1)*4)*100</f>
        <v>-50.24161180981519</v>
      </c>
      <c r="E3" s="90" t="s">
        <v>182</v>
      </c>
      <c r="F3" s="46" cm="1">
        <f t="array" aca="1" ref="F3" ca="1">INDIRECT("'Python Impact of Technique'!R" &amp; 5 + (ROW(A1)-1)*4)</f>
        <v>8100.0049600000011</v>
      </c>
      <c r="G3" s="46" cm="1">
        <f t="array" aca="1" ref="G3" ca="1">INDIRECT("'Python Impact of Technique'!R" &amp; 6 + (ROW(A1)-1)*4)</f>
        <v>2634.9886399999996</v>
      </c>
      <c r="H3" s="46" cm="1">
        <f t="array" aca="1" ref="H3" ca="1">INDIRECT("'Python Impact of Technique'!V" &amp; 5 + (ROW(D1)-1)*4)*100</f>
        <v>-67.469295969418781</v>
      </c>
      <c r="I3" s="90" t="s">
        <v>182</v>
      </c>
      <c r="J3" s="47">
        <f ca="1">AVERAGE(D3,H3)</f>
        <v>-58.855453889616982</v>
      </c>
      <c r="K3" s="41"/>
      <c r="L3" s="41"/>
      <c r="N3" s="118" t="s">
        <v>115</v>
      </c>
      <c r="O3" s="120"/>
      <c r="P3" s="50"/>
      <c r="Q3" s="50"/>
      <c r="R3" s="118" t="s">
        <v>66</v>
      </c>
      <c r="S3" s="120"/>
    </row>
    <row r="4" spans="1:19" x14ac:dyDescent="0.25">
      <c r="A4" s="32" t="s">
        <v>103</v>
      </c>
      <c r="B4" s="48" cm="1">
        <f t="array" aca="1" ref="B4" ca="1">INDIRECT("'Python Impact of Technique'!R" &amp; 3 + (ROW(A2)-1)*4)</f>
        <v>1405.79278</v>
      </c>
      <c r="C4" s="41" cm="1">
        <f t="array" aca="1" ref="C4" ca="1">INDIRECT("'Python Impact of Technique'!R" &amp; 4 + (ROW(A2)-1)*4)</f>
        <v>955.11847</v>
      </c>
      <c r="D4" s="41" cm="1">
        <f t="array" aca="1" ref="D4" ca="1">INDIRECT("'Python Impact of Technique'!V" &amp; 3 + (ROW(A2)-1)*4)*100</f>
        <v>-32.058374207897131</v>
      </c>
      <c r="E4" s="23" t="s">
        <v>182</v>
      </c>
      <c r="F4" s="41" cm="1">
        <f t="array" aca="1" ref="F4" ca="1">INDIRECT("'Python Impact of Technique'!R" &amp; 5 + (ROW(A2)-1)*4)</f>
        <v>1261.44</v>
      </c>
      <c r="G4" s="41" cm="1">
        <f t="array" aca="1" ref="G4" ca="1">INDIRECT("'Python Impact of Technique'!R" &amp; 6 + (ROW(A2)-1)*4)</f>
        <v>722.5929900000001</v>
      </c>
      <c r="H4" s="41" cm="1">
        <f t="array" aca="1" ref="H4" ca="1">INDIRECT("'Python Impact of Technique'!V" &amp; 5 + (ROW(D2)-1)*4)*100</f>
        <v>-42.716816495433783</v>
      </c>
      <c r="I4" s="23" t="s">
        <v>183</v>
      </c>
      <c r="J4" s="42">
        <f t="shared" ref="J4:J25" ca="1" si="0">AVERAGE(D4,H4)</f>
        <v>-37.387595351665453</v>
      </c>
      <c r="K4" s="41"/>
      <c r="L4" s="41"/>
      <c r="N4" s="16" t="s">
        <v>100</v>
      </c>
      <c r="O4" s="16" t="s">
        <v>99</v>
      </c>
      <c r="P4" s="50"/>
      <c r="Q4" s="50"/>
      <c r="R4" s="38" t="s">
        <v>100</v>
      </c>
      <c r="S4" s="16" t="s">
        <v>99</v>
      </c>
    </row>
    <row r="5" spans="1:19" x14ac:dyDescent="0.25">
      <c r="A5" s="32" t="s">
        <v>105</v>
      </c>
      <c r="B5" s="48" cm="1">
        <f t="array" aca="1" ref="B5" ca="1">INDIRECT("'Python Impact of Technique'!R" &amp; 3 + (ROW(A3)-1)*4)</f>
        <v>1393.7238399999999</v>
      </c>
      <c r="C5" s="41" cm="1">
        <f t="array" aca="1" ref="C5" ca="1">INDIRECT("'Python Impact of Technique'!R" &amp; 4 + (ROW(A3)-1)*4)</f>
        <v>408.04688000000004</v>
      </c>
      <c r="D5" s="41" cm="1">
        <f t="array" aca="1" ref="D5" ca="1">INDIRECT("'Python Impact of Technique'!V" &amp; 3 + (ROW(A3)-1)*4)*100</f>
        <v>-70.722544288257268</v>
      </c>
      <c r="E5" s="23" t="s">
        <v>182</v>
      </c>
      <c r="F5" s="41" cm="1">
        <f t="array" aca="1" ref="F5" ca="1">INDIRECT("'Python Impact of Technique'!R" &amp; 5 + (ROW(A3)-1)*4)</f>
        <v>1027.6659999999999</v>
      </c>
      <c r="G5" s="41" cm="1">
        <f t="array" aca="1" ref="G5" ca="1">INDIRECT("'Python Impact of Technique'!R" &amp; 6 + (ROW(A3)-1)*4)</f>
        <v>477.43338</v>
      </c>
      <c r="H5" s="41" cm="1">
        <f t="array" aca="1" ref="H5" ca="1">INDIRECT("'Python Impact of Technique'!V" &amp; 5 + (ROW(D3)-1)*4)*100</f>
        <v>-53.541969861803352</v>
      </c>
      <c r="I5" s="23" t="s">
        <v>182</v>
      </c>
      <c r="J5" s="42">
        <f t="shared" ca="1" si="0"/>
        <v>-62.13225707503031</v>
      </c>
      <c r="K5" s="41"/>
      <c r="L5" s="41"/>
      <c r="N5" s="71" t="s">
        <v>106</v>
      </c>
      <c r="O5" s="29" t="str" cm="1">
        <f t="array" aca="1" ref="O5" ca="1">_xlfn.TEXTJOIN(", ", TRUE, IF(D3:D25 &lt;= -75, A3:A25, ""))</f>
        <v/>
      </c>
      <c r="R5" s="78" t="s">
        <v>106</v>
      </c>
      <c r="S5" s="29" t="str" cm="1">
        <f t="array" aca="1" ref="S5" ca="1">_xlfn.TEXTJOIN(", ", TRUE, IF(H3:H25 &lt;= -75, A3:A25, ""))</f>
        <v/>
      </c>
    </row>
    <row r="6" spans="1:19" x14ac:dyDescent="0.25">
      <c r="A6" s="32" t="s">
        <v>104</v>
      </c>
      <c r="B6" s="48" cm="1">
        <f t="array" aca="1" ref="B6" ca="1">INDIRECT("'Python Impact of Technique'!R" &amp; 3 + (ROW(A4)-1)*4)</f>
        <v>348.36634000000004</v>
      </c>
      <c r="C6" s="41" cm="1">
        <f t="array" aca="1" ref="C6" ca="1">INDIRECT("'Python Impact of Technique'!R" &amp; 4 + (ROW(A4)-1)*4)</f>
        <v>265.02798000000001</v>
      </c>
      <c r="D6" s="41" cm="1">
        <f t="array" aca="1" ref="D6" ca="1">INDIRECT("'Python Impact of Technique'!V" &amp; 3 + (ROW(A4)-1)*4)*100</f>
        <v>-23.922621226838395</v>
      </c>
      <c r="E6" s="23" t="s">
        <v>182</v>
      </c>
      <c r="F6" s="41" cm="1">
        <f t="array" aca="1" ref="F6" ca="1">INDIRECT("'Python Impact of Technique'!R" &amp; 5 + (ROW(A4)-1)*4)</f>
        <v>157.98024000000001</v>
      </c>
      <c r="G6" s="41" cm="1">
        <f t="array" aca="1" ref="G6" ca="1">INDIRECT("'Python Impact of Technique'!R" &amp; 6 + (ROW(A4)-1)*4)</f>
        <v>127.74079999999999</v>
      </c>
      <c r="H6" s="41" cm="1">
        <f t="array" aca="1" ref="H6" ca="1">INDIRECT("'Python Impact of Technique'!V" &amp; 5 + (ROW(D4)-1)*4)*100</f>
        <v>-19.141279947416219</v>
      </c>
      <c r="I6" s="23" t="s">
        <v>182</v>
      </c>
      <c r="J6" s="42">
        <f t="shared" ca="1" si="0"/>
        <v>-21.531950587127305</v>
      </c>
      <c r="K6" s="41"/>
      <c r="L6" s="41"/>
      <c r="N6" s="72" t="s">
        <v>107</v>
      </c>
      <c r="O6" s="29" t="str" cm="1">
        <f t="array" aca="1" ref="O6" ca="1">_xlfn.TEXTJOIN(", ", TRUE, IF((D3:D25 &gt; -75) * (D3:D25 &lt;= -25), A3:A25, ""))</f>
        <v>T4, T7, T8, T10, T11, T26, T40, T49</v>
      </c>
      <c r="R6" s="72" t="s">
        <v>107</v>
      </c>
      <c r="S6" s="29" t="str" cm="1">
        <f t="array" aca="1" ref="S6" ca="1">_xlfn.TEXTJOIN(", ", TRUE, IF((H3:H25 &gt; -75) * (H3:H25 &lt;= -25), A3:A25, ""))</f>
        <v>T4, T7, T8, T10, T49</v>
      </c>
    </row>
    <row r="7" spans="1:19" x14ac:dyDescent="0.25">
      <c r="A7" s="32" t="s">
        <v>1</v>
      </c>
      <c r="B7" s="48" cm="1">
        <f t="array" aca="1" ref="B7" ca="1">INDIRECT("'Python Impact of Technique'!R" &amp; 3 + (ROW(A5)-1)*4)</f>
        <v>1596.3150000000001</v>
      </c>
      <c r="C7" s="41" cm="1">
        <f t="array" aca="1" ref="C7" ca="1">INDIRECT("'Python Impact of Technique'!R" &amp; 4 + (ROW(A5)-1)*4)</f>
        <v>726.43822999999998</v>
      </c>
      <c r="D7" s="41" cm="1">
        <f t="array" aca="1" ref="D7" ca="1">INDIRECT("'Python Impact of Technique'!V" &amp; 3 + (ROW(A5)-1)*4)*100</f>
        <v>-54.49280185928216</v>
      </c>
      <c r="E7" s="23" t="s">
        <v>182</v>
      </c>
      <c r="F7" s="41" cm="1">
        <f t="array" aca="1" ref="F7" ca="1">INDIRECT("'Python Impact of Technique'!R" &amp; 5 + (ROW(A5)-1)*4)</f>
        <v>841.16376000000014</v>
      </c>
      <c r="G7" s="41" cm="1">
        <f t="array" aca="1" ref="G7" ca="1">INDIRECT("'Python Impact of Technique'!R" &amp; 6 + (ROW(A5)-1)*4)</f>
        <v>262.17568</v>
      </c>
      <c r="H7" s="41" cm="1">
        <f t="array" aca="1" ref="H7" ca="1">INDIRECT("'Python Impact of Technique'!V" &amp; 5 + (ROW(D5)-1)*4)*100</f>
        <v>-68.83179085128441</v>
      </c>
      <c r="I7" s="23" t="s">
        <v>182</v>
      </c>
      <c r="J7" s="42">
        <f t="shared" ca="1" si="0"/>
        <v>-61.662296355283289</v>
      </c>
      <c r="K7" s="41"/>
      <c r="L7" s="41"/>
      <c r="N7" s="73" t="s">
        <v>112</v>
      </c>
      <c r="O7" s="29" t="str" cm="1">
        <f t="array" aca="1" ref="O7" ca="1">_xlfn.TEXTJOIN(", ", TRUE, IF((D3:D25 &gt; -25) * (D3:D25 &lt;= -3), A3:A25, ""))</f>
        <v>T9, T12, T13, T16, T20, T25, T32, T36</v>
      </c>
      <c r="R7" s="73" t="s">
        <v>112</v>
      </c>
      <c r="S7" s="29" t="str" cm="1">
        <f t="array" aca="1" ref="S7" ca="1">_xlfn.TEXTJOIN(", ", TRUE, IF((H3:H25 &gt; -25) * (H3:H25 &lt;= -3), A3:A25, ""))</f>
        <v>T9, T12, T16, T19, T25, T26, T33</v>
      </c>
    </row>
    <row r="8" spans="1:19" x14ac:dyDescent="0.25">
      <c r="A8" s="32" t="s">
        <v>2</v>
      </c>
      <c r="B8" s="48" cm="1">
        <f t="array" aca="1" ref="B8" ca="1">INDIRECT("'Python Impact of Technique'!R" &amp; 3 + (ROW(A6)-1)*4)</f>
        <v>2697.645</v>
      </c>
      <c r="C8" s="41" cm="1">
        <f t="array" aca="1" ref="C8" ca="1">INDIRECT("'Python Impact of Technique'!R" &amp; 4 + (ROW(A6)-1)*4)</f>
        <v>1833.461</v>
      </c>
      <c r="D8" s="41" cm="1">
        <f t="array" aca="1" ref="D8" ca="1">INDIRECT("'Python Impact of Technique'!V" &amp; 3 + (ROW(A6)-1)*4)*100</f>
        <v>-32.034756241091763</v>
      </c>
      <c r="E8" s="23" t="s">
        <v>182</v>
      </c>
      <c r="F8" s="41" cm="1">
        <f t="array" aca="1" ref="F8" ca="1">INDIRECT("'Python Impact of Technique'!R" &amp; 5 + (ROW(A6)-1)*4)</f>
        <v>1618.2266</v>
      </c>
      <c r="G8" s="41" cm="1">
        <f t="array" aca="1" ref="G8" ca="1">INDIRECT("'Python Impact of Technique'!R" &amp; 6 + (ROW(A6)-1)*4)</f>
        <v>1733.4997199999998</v>
      </c>
      <c r="H8" s="41" cm="1">
        <f t="array" aca="1" ref="H8" ca="1">INDIRECT("'Python Impact of Technique'!V" &amp; 5 + (ROW(D6)-1)*4)*100</f>
        <v>7.123422640562195</v>
      </c>
      <c r="I8" s="23" t="s">
        <v>182</v>
      </c>
      <c r="J8" s="42">
        <f t="shared" ca="1" si="0"/>
        <v>-12.455666800264783</v>
      </c>
      <c r="K8" s="41"/>
      <c r="L8" s="41"/>
      <c r="N8" s="74" t="s">
        <v>108</v>
      </c>
      <c r="O8" s="29" t="str" cm="1">
        <f t="array" aca="1" ref="O8" ca="1">_xlfn.TEXTJOIN(", ", TRUE, IF((D3:D25 &gt; -3) * (D3:D25 &lt; 3), A3:A25, ""))</f>
        <v>T19, T29, T33</v>
      </c>
      <c r="R8" s="74" t="s">
        <v>108</v>
      </c>
      <c r="S8" s="29" t="str" cm="1">
        <f t="array" aca="1" ref="S8" ca="1">_xlfn.TEXTJOIN(", ", TRUE, IF((H3:H25 &gt; -3) * (H3:H25 &lt; 3), A3:A25, ""))</f>
        <v>T13, T36, T40, T44</v>
      </c>
    </row>
    <row r="9" spans="1:19" x14ac:dyDescent="0.25">
      <c r="A9" s="32" t="s">
        <v>3</v>
      </c>
      <c r="B9" s="48" cm="1">
        <f t="array" aca="1" ref="B9" ca="1">INDIRECT("'Python Impact of Technique'!R" &amp; 3 + (ROW(A7)-1)*4)</f>
        <v>549.22140000000002</v>
      </c>
      <c r="C9" s="41" cm="1">
        <f t="array" aca="1" ref="C9" ca="1">INDIRECT("'Python Impact of Technique'!R" &amp; 4 + (ROW(A7)-1)*4)</f>
        <v>441.42768999999998</v>
      </c>
      <c r="D9" s="41" cm="1">
        <f t="array" aca="1" ref="D9" ca="1">INDIRECT("'Python Impact of Technique'!V" &amp; 3 + (ROW(A7)-1)*4)*100</f>
        <v>-19.626640549694539</v>
      </c>
      <c r="E9" s="23" t="s">
        <v>182</v>
      </c>
      <c r="F9" s="41" cm="1">
        <f t="array" aca="1" ref="F9" ca="1">INDIRECT("'Python Impact of Technique'!R" &amp; 5 + (ROW(A7)-1)*4)</f>
        <v>290.41272000000004</v>
      </c>
      <c r="G9" s="41" cm="1">
        <f t="array" aca="1" ref="G9" ca="1">INDIRECT("'Python Impact of Technique'!R" &amp; 6 + (ROW(A7)-1)*4)</f>
        <v>249.06476000000001</v>
      </c>
      <c r="H9" s="41" cm="1">
        <f t="array" aca="1" ref="H9" ca="1">INDIRECT("'Python Impact of Technique'!V" &amp; 5 + (ROW(D7)-1)*4)*100</f>
        <v>-14.237654604109634</v>
      </c>
      <c r="I9" s="23" t="s">
        <v>182</v>
      </c>
      <c r="J9" s="42">
        <f t="shared" ca="1" si="0"/>
        <v>-16.932147576902086</v>
      </c>
      <c r="K9" s="41"/>
      <c r="L9" s="41"/>
      <c r="N9" s="75" t="s">
        <v>109</v>
      </c>
      <c r="O9" s="29" t="str" cm="1">
        <f t="array" aca="1" ref="O9" ca="1">_xlfn.TEXTJOIN(", ", TRUE, IF((D3:D25 &gt;= 3) * (D3:D25 &lt; 25), A3:A25, ""))</f>
        <v>T17, T28, T44</v>
      </c>
      <c r="R9" s="75" t="s">
        <v>109</v>
      </c>
      <c r="S9" s="29" t="str" cm="1">
        <f t="array" aca="1" ref="S9" ca="1">_xlfn.TEXTJOIN(", ", TRUE, IF((H3:H25 &gt;= 3) * (H3:H25 &lt; 25), A3:A25, ""))</f>
        <v>T11, T17, T20, T28, T29, T31</v>
      </c>
    </row>
    <row r="10" spans="1:19" x14ac:dyDescent="0.25">
      <c r="A10" s="32" t="s">
        <v>4</v>
      </c>
      <c r="B10" s="48" cm="1">
        <f t="array" aca="1" ref="B10" ca="1">INDIRECT("'Python Impact of Technique'!R" &amp; 3 + (ROW(A8)-1)*4)</f>
        <v>14345.3151</v>
      </c>
      <c r="C10" s="41" cm="1">
        <f t="array" aca="1" ref="C10" ca="1">INDIRECT("'Python Impact of Technique'!R" &amp; 4 + (ROW(A8)-1)*4)</f>
        <v>13396.94802</v>
      </c>
      <c r="D10" s="41" cm="1">
        <f t="array" aca="1" ref="D10" ca="1">INDIRECT("'Python Impact of Technique'!V" &amp; 3 + (ROW(A8)-1)*4)*100</f>
        <v>-6.610988140650881</v>
      </c>
      <c r="E10" s="23" t="s">
        <v>182</v>
      </c>
      <c r="F10" s="41" cm="1">
        <f t="array" aca="1" ref="F10" ca="1">INDIRECT("'Python Impact of Technique'!R" &amp; 5 + (ROW(A8)-1)*4)</f>
        <v>13134.515509999999</v>
      </c>
      <c r="G10" s="41" cm="1">
        <f t="array" aca="1" ref="G10" ca="1">INDIRECT("'Python Impact of Technique'!R" &amp; 6 + (ROW(A8)-1)*4)</f>
        <v>13182.98085</v>
      </c>
      <c r="H10" s="41" cm="1">
        <f t="array" aca="1" ref="H10" ca="1">INDIRECT("'Python Impact of Technique'!V" &amp; 5 + (ROW(D8)-1)*4)*100</f>
        <v>0.36899221720893649</v>
      </c>
      <c r="I10" s="23" t="s">
        <v>182</v>
      </c>
      <c r="J10" s="42">
        <f t="shared" ca="1" si="0"/>
        <v>-3.1209979617209722</v>
      </c>
      <c r="K10" s="41"/>
      <c r="L10" s="41"/>
      <c r="N10" s="76" t="s">
        <v>110</v>
      </c>
      <c r="O10" s="29" t="str" cm="1">
        <f t="array" aca="1" ref="O10" ca="1">_xlfn.TEXTJOIN(", ", TRUE, IF((D3:D25 &gt;= 25) * (D3:D25 &lt; 75), A3:A25, ""))</f>
        <v/>
      </c>
      <c r="R10" s="76" t="s">
        <v>110</v>
      </c>
      <c r="S10" s="29" t="str" cm="1">
        <f t="array" aca="1" ref="S10" ca="1">_xlfn.TEXTJOIN(", ", TRUE, IF((H3:H25 &gt;= 25) * (H3:H25 &lt; 75), A3:A25, ""))</f>
        <v>T32</v>
      </c>
    </row>
    <row r="11" spans="1:19" x14ac:dyDescent="0.25">
      <c r="A11" s="32" t="s">
        <v>7</v>
      </c>
      <c r="B11" s="48" cm="1">
        <f t="array" aca="1" ref="B11" ca="1">INDIRECT("'Python Impact of Technique'!R" &amp; 3 + (ROW(A9)-1)*4)</f>
        <v>494.34704999999997</v>
      </c>
      <c r="C11" s="41" cm="1">
        <f t="array" aca="1" ref="C11" ca="1">INDIRECT("'Python Impact of Technique'!R" &amp; 4 + (ROW(A9)-1)*4)</f>
        <v>434.30383999999998</v>
      </c>
      <c r="D11" s="41" cm="1">
        <f t="array" aca="1" ref="D11" ca="1">INDIRECT("'Python Impact of Technique'!V" &amp; 3 + (ROW(A9)-1)*4)*100</f>
        <v>-12.145963043574346</v>
      </c>
      <c r="E11" s="23" t="s">
        <v>182</v>
      </c>
      <c r="F11" s="41" cm="1">
        <f t="array" aca="1" ref="F11" ca="1">INDIRECT("'Python Impact of Technique'!R" &amp; 5 + (ROW(A9)-1)*4)</f>
        <v>254.60068000000001</v>
      </c>
      <c r="G11" s="41" cm="1">
        <f t="array" aca="1" ref="G11" ca="1">INDIRECT("'Python Impact of Technique'!R" &amp; 6 + (ROW(A9)-1)*4)</f>
        <v>240.76584</v>
      </c>
      <c r="H11" s="41" cm="1">
        <f t="array" aca="1" ref="H11" ca="1">INDIRECT("'Python Impact of Technique'!V" &amp; 5 + (ROW(D9)-1)*4)*100</f>
        <v>-5.4339367828868381</v>
      </c>
      <c r="I11" s="23" t="s">
        <v>182</v>
      </c>
      <c r="J11" s="42">
        <f t="shared" ca="1" si="0"/>
        <v>-8.7899499132305916</v>
      </c>
      <c r="K11" s="41"/>
      <c r="L11" s="41"/>
      <c r="N11" s="77" t="s">
        <v>111</v>
      </c>
      <c r="O11" s="33" t="str" cm="1">
        <f t="array" aca="1" ref="O11" ca="1">_xlfn.TEXTJOIN(", ", TRUE, IF(D3:D25 &gt;= 75, A3:A25, ""))</f>
        <v>T31</v>
      </c>
      <c r="R11" s="77" t="s">
        <v>111</v>
      </c>
      <c r="S11" s="33" t="str" cm="1">
        <f t="array" aca="1" ref="S11" ca="1">_xlfn.TEXTJOIN(", ", TRUE, IF(H3:H25 &gt;= 75, A3:A25, ""))</f>
        <v/>
      </c>
    </row>
    <row r="12" spans="1:19" x14ac:dyDescent="0.25">
      <c r="A12" s="32" t="s">
        <v>8</v>
      </c>
      <c r="B12" s="48" cm="1">
        <f t="array" aca="1" ref="B12" ca="1">INDIRECT("'Python Impact of Technique'!R" &amp; 3 + (ROW(A10)-1)*4)</f>
        <v>439.66179</v>
      </c>
      <c r="C12" s="41" cm="1">
        <f t="array" aca="1" ref="C12" ca="1">INDIRECT("'Python Impact of Technique'!R" &amp; 4 + (ROW(A10)-1)*4)</f>
        <v>467.29655000000002</v>
      </c>
      <c r="D12" s="41" cm="1">
        <f t="array" aca="1" ref="D12" ca="1">INDIRECT("'Python Impact of Technique'!V" &amp; 3 + (ROW(A10)-1)*4)*100</f>
        <v>6.2854586476573342</v>
      </c>
      <c r="E12" s="23" t="s">
        <v>182</v>
      </c>
      <c r="F12" s="41" cm="1">
        <f t="array" aca="1" ref="F12" ca="1">INDIRECT("'Python Impact of Technique'!R" &amp; 5 + (ROW(A10)-1)*4)</f>
        <v>236.39091999999997</v>
      </c>
      <c r="G12" s="41" cm="1">
        <f t="array" aca="1" ref="G12" ca="1">INDIRECT("'Python Impact of Technique'!R" &amp; 6 + (ROW(A10)-1)*4)</f>
        <v>289.02805000000001</v>
      </c>
      <c r="H12" s="41" cm="1">
        <f t="array" aca="1" ref="H12" ca="1">INDIRECT("'Python Impact of Technique'!V" &amp; 5 + (ROW(D10)-1)*4)*100</f>
        <v>22.266984704827092</v>
      </c>
      <c r="I12" s="23" t="s">
        <v>182</v>
      </c>
      <c r="J12" s="42">
        <f t="shared" ca="1" si="0"/>
        <v>14.276221676242212</v>
      </c>
      <c r="K12" s="41"/>
      <c r="L12" s="41"/>
    </row>
    <row r="13" spans="1:19" x14ac:dyDescent="0.25">
      <c r="A13" s="32" t="s">
        <v>10</v>
      </c>
      <c r="B13" s="48" cm="1">
        <f t="array" aca="1" ref="B13" ca="1">INDIRECT("'Python Impact of Technique'!R" &amp; 3 + (ROW(A11)-1)*4)</f>
        <v>8087.8421400000007</v>
      </c>
      <c r="C13" s="41" cm="1">
        <f t="array" aca="1" ref="C13" ca="1">INDIRECT("'Python Impact of Technique'!R" &amp; 4 + (ROW(A11)-1)*4)</f>
        <v>8009.2634999999991</v>
      </c>
      <c r="D13" s="41" cm="1">
        <f t="array" aca="1" ref="D13" ca="1">INDIRECT("'Python Impact of Technique'!V" &amp; 3 + (ROW(A11)-1)*4)*100</f>
        <v>-0.97156495687985234</v>
      </c>
      <c r="E13" s="23" t="s">
        <v>182</v>
      </c>
      <c r="F13" s="41" cm="1">
        <f t="array" aca="1" ref="F13" ca="1">INDIRECT("'Python Impact of Technique'!R" &amp; 5 + (ROW(A11)-1)*4)</f>
        <v>7902.1302999999998</v>
      </c>
      <c r="G13" s="41" cm="1">
        <f t="array" aca="1" ref="G13" ca="1">INDIRECT("'Python Impact of Technique'!R" &amp; 6 + (ROW(A11)-1)*4)</f>
        <v>7644.8563199999999</v>
      </c>
      <c r="H13" s="41" cm="1">
        <f t="array" aca="1" ref="H13" ca="1">INDIRECT("'Python Impact of Technique'!V" &amp; 5 + (ROW(D11)-1)*4)*100</f>
        <v>-3.2557547171805044</v>
      </c>
      <c r="I13" s="23" t="s">
        <v>182</v>
      </c>
      <c r="J13" s="42">
        <f t="shared" ca="1" si="0"/>
        <v>-2.1136598370301782</v>
      </c>
      <c r="K13" s="41"/>
      <c r="L13" s="41"/>
    </row>
    <row r="14" spans="1:19" x14ac:dyDescent="0.25">
      <c r="A14" s="32" t="s">
        <v>11</v>
      </c>
      <c r="B14" s="48" cm="1">
        <f t="array" aca="1" ref="B14" ca="1">INDIRECT("'Python Impact of Technique'!R" &amp; 3 + (ROW(A12)-1)*4)</f>
        <v>4211.3056999999999</v>
      </c>
      <c r="C14" s="41" cm="1">
        <f t="array" aca="1" ref="C14" ca="1">INDIRECT("'Python Impact of Technique'!R" &amp; 4 + (ROW(A12)-1)*4)</f>
        <v>3744.1523600000005</v>
      </c>
      <c r="D14" s="41" cm="1">
        <f t="array" aca="1" ref="D14" ca="1">INDIRECT("'Python Impact of Technique'!V" &amp; 3 + (ROW(A12)-1)*4)*100</f>
        <v>-11.092838498995677</v>
      </c>
      <c r="E14" s="23" t="s">
        <v>186</v>
      </c>
      <c r="F14" s="41" cm="1">
        <f t="array" aca="1" ref="F14" ca="1">INDIRECT("'Python Impact of Technique'!R" &amp; 5 + (ROW(A12)-1)*4)</f>
        <v>3894.9653599999997</v>
      </c>
      <c r="G14" s="41" cm="1">
        <f t="array" aca="1" ref="G14" ca="1">INDIRECT("'Python Impact of Technique'!R" &amp; 6 + (ROW(A12)-1)*4)</f>
        <v>4441.61355</v>
      </c>
      <c r="H14" s="41" cm="1">
        <f t="array" aca="1" ref="H14" ca="1">INDIRECT("'Python Impact of Technique'!V" &amp; 5 + (ROW(D12)-1)*4)*100</f>
        <v>14.034738167735602</v>
      </c>
      <c r="I14" s="23" t="s">
        <v>182</v>
      </c>
      <c r="J14" s="42">
        <f t="shared" ca="1" si="0"/>
        <v>1.4709498343699625</v>
      </c>
      <c r="K14" s="41"/>
      <c r="L14" s="41"/>
    </row>
    <row r="15" spans="1:19" x14ac:dyDescent="0.25">
      <c r="A15" s="32" t="s">
        <v>16</v>
      </c>
      <c r="B15" s="48" cm="1">
        <f t="array" aca="1" ref="B15" ca="1">INDIRECT("'Python Impact of Technique'!R" &amp; 3 + (ROW(A13)-1)*4)</f>
        <v>10830.990239999999</v>
      </c>
      <c r="C15" s="41" cm="1">
        <f t="array" aca="1" ref="C15" ca="1">INDIRECT("'Python Impact of Technique'!R" &amp; 4 + (ROW(A13)-1)*4)</f>
        <v>9762.8958500000008</v>
      </c>
      <c r="D15" s="41" cm="1">
        <f t="array" aca="1" ref="D15" ca="1">INDIRECT("'Python Impact of Technique'!V" &amp; 3 + (ROW(A13)-1)*4)*100</f>
        <v>-9.8614657231931773</v>
      </c>
      <c r="E15" s="23" t="s">
        <v>182</v>
      </c>
      <c r="F15" s="41" cm="1">
        <f t="array" aca="1" ref="F15" ca="1">INDIRECT("'Python Impact of Technique'!R" &amp; 5 + (ROW(A13)-1)*4)</f>
        <v>9479.0794999999998</v>
      </c>
      <c r="G15" s="41" cm="1">
        <f t="array" aca="1" ref="G15" ca="1">INDIRECT("'Python Impact of Technique'!R" &amp; 6 + (ROW(A13)-1)*4)</f>
        <v>8230.0439200000001</v>
      </c>
      <c r="H15" s="41" cm="1">
        <f t="array" aca="1" ref="H15" ca="1">INDIRECT("'Python Impact of Technique'!V" &amp; 5 + (ROW(D13)-1)*4)*100</f>
        <v>-13.176760253988796</v>
      </c>
      <c r="I15" s="23" t="s">
        <v>182</v>
      </c>
      <c r="J15" s="42">
        <f t="shared" ca="1" si="0"/>
        <v>-11.519112988590987</v>
      </c>
      <c r="K15" s="41"/>
      <c r="L15" s="41"/>
    </row>
    <row r="16" spans="1:19" x14ac:dyDescent="0.25">
      <c r="A16" s="32" t="s">
        <v>17</v>
      </c>
      <c r="B16" s="48" cm="1">
        <f t="array" aca="1" ref="B16" ca="1">INDIRECT("'Python Impact of Technique'!R" &amp; 3 + (ROW(A14)-1)*4)</f>
        <v>11806.9056</v>
      </c>
      <c r="C16" s="41" cm="1">
        <f t="array" aca="1" ref="C16" ca="1">INDIRECT("'Python Impact of Technique'!R" &amp; 4 + (ROW(A14)-1)*4)</f>
        <v>8477.6859999999997</v>
      </c>
      <c r="D16" s="41" cm="1">
        <f t="array" aca="1" ref="D16" ca="1">INDIRECT("'Python Impact of Technique'!V" &amp; 3 + (ROW(A14)-1)*4)*100</f>
        <v>-28.197223834837811</v>
      </c>
      <c r="E16" s="23" t="s">
        <v>182</v>
      </c>
      <c r="F16" s="41" cm="1">
        <f t="array" aca="1" ref="F16" ca="1">INDIRECT("'Python Impact of Technique'!R" &amp; 5 + (ROW(A14)-1)*4)</f>
        <v>10351.720959999999</v>
      </c>
      <c r="G16" s="41" cm="1">
        <f t="array" aca="1" ref="G16" ca="1">INDIRECT("'Python Impact of Technique'!R" &amp; 6 + (ROW(A14)-1)*4)</f>
        <v>8654.0055799999991</v>
      </c>
      <c r="H16" s="41" cm="1">
        <f t="array" aca="1" ref="H16" ca="1">INDIRECT("'Python Impact of Technique'!V" &amp; 5 + (ROW(D14)-1)*4)*100</f>
        <v>-16.400320164735195</v>
      </c>
      <c r="I16" s="23" t="s">
        <v>182</v>
      </c>
      <c r="J16" s="42">
        <f t="shared" ca="1" si="0"/>
        <v>-22.298771999786503</v>
      </c>
      <c r="K16" s="41"/>
      <c r="L16" s="41"/>
    </row>
    <row r="17" spans="1:12" x14ac:dyDescent="0.25">
      <c r="A17" s="32" t="s">
        <v>20</v>
      </c>
      <c r="B17" s="48" cm="1">
        <f t="array" aca="1" ref="B17" ca="1">INDIRECT("'Python Impact of Technique'!R" &amp; 3 + (ROW(A15)-1)*4)</f>
        <v>12319.903200000001</v>
      </c>
      <c r="C17" s="41" cm="1">
        <f t="array" aca="1" ref="C17" ca="1">INDIRECT("'Python Impact of Technique'!R" &amp; 4 + (ROW(A15)-1)*4)</f>
        <v>15106.708979999999</v>
      </c>
      <c r="D17" s="41" cm="1">
        <f t="array" aca="1" ref="D17" ca="1">INDIRECT("'Python Impact of Technique'!V" &amp; 3 + (ROW(A15)-1)*4)*100</f>
        <v>22.620354517071195</v>
      </c>
      <c r="E17" s="23" t="s">
        <v>182</v>
      </c>
      <c r="F17" s="41" cm="1">
        <f t="array" aca="1" ref="F17" ca="1">INDIRECT("'Python Impact of Technique'!R" &amp; 5 + (ROW(A15)-1)*4)</f>
        <v>12138.420120000002</v>
      </c>
      <c r="G17" s="41" cm="1">
        <f t="array" aca="1" ref="G17" ca="1">INDIRECT("'Python Impact of Technique'!R" &amp; 6 + (ROW(A15)-1)*4)</f>
        <v>14212.5682</v>
      </c>
      <c r="H17" s="41" cm="1">
        <f t="array" aca="1" ref="H17" ca="1">INDIRECT("'Python Impact of Technique'!V" &amp; 5 + (ROW(D15)-1)*4)*100</f>
        <v>17.087463273597724</v>
      </c>
      <c r="I17" s="23" t="s">
        <v>182</v>
      </c>
      <c r="J17" s="42">
        <f t="shared" ca="1" si="0"/>
        <v>19.85390889533446</v>
      </c>
      <c r="K17" s="41"/>
      <c r="L17" s="41"/>
    </row>
    <row r="18" spans="1:12" x14ac:dyDescent="0.25">
      <c r="A18" s="32" t="s">
        <v>21</v>
      </c>
      <c r="B18" s="48" cm="1">
        <f t="array" aca="1" ref="B18" ca="1">INDIRECT("'Python Impact of Technique'!R" &amp; 3 + (ROW(A16)-1)*4)</f>
        <v>317.71690999999998</v>
      </c>
      <c r="C18" s="41" cm="1">
        <f t="array" aca="1" ref="C18" ca="1">INDIRECT("'Python Impact of Technique'!R" &amp; 4 + (ROW(A16)-1)*4)</f>
        <v>321.51185000000004</v>
      </c>
      <c r="D18" s="41" cm="1">
        <f t="array" aca="1" ref="D18" ca="1">INDIRECT("'Python Impact of Technique'!V" &amp; 3 + (ROW(A16)-1)*4)*100</f>
        <v>1.1944406736172946</v>
      </c>
      <c r="E18" s="23" t="s">
        <v>182</v>
      </c>
      <c r="F18" s="41" cm="1">
        <f t="array" aca="1" ref="F18" ca="1">INDIRECT("'Python Impact of Technique'!R" &amp; 5 + (ROW(A16)-1)*4)</f>
        <v>173.68517</v>
      </c>
      <c r="G18" s="41" cm="1">
        <f t="array" aca="1" ref="G18" ca="1">INDIRECT("'Python Impact of Technique'!R" &amp; 6 + (ROW(A16)-1)*4)</f>
        <v>216.47493</v>
      </c>
      <c r="H18" s="41" cm="1">
        <f t="array" aca="1" ref="H18" ca="1">INDIRECT("'Python Impact of Technique'!V" &amp; 5 + (ROW(D16)-1)*4)*100</f>
        <v>24.636392387444477</v>
      </c>
      <c r="I18" s="23" t="s">
        <v>182</v>
      </c>
      <c r="J18" s="42">
        <f t="shared" ca="1" si="0"/>
        <v>12.915416530530885</v>
      </c>
      <c r="K18" s="41"/>
      <c r="L18" s="41"/>
    </row>
    <row r="19" spans="1:12" x14ac:dyDescent="0.25">
      <c r="A19" s="32" t="s">
        <v>23</v>
      </c>
      <c r="B19" s="48" cm="1">
        <f t="array" aca="1" ref="B19" ca="1">INDIRECT("'Python Impact of Technique'!R" &amp; 3 + (ROW(A17)-1)*4)</f>
        <v>10367.748320000001</v>
      </c>
      <c r="C19" s="41" cm="1">
        <f t="array" aca="1" ref="C19" ca="1">INDIRECT("'Python Impact of Technique'!R" &amp; 4 + (ROW(A17)-1)*4)</f>
        <v>21580.194299999999</v>
      </c>
      <c r="D19" s="41" cm="1">
        <f t="array" aca="1" ref="D19" ca="1">INDIRECT("'Python Impact of Technique'!V" &amp; 3 + (ROW(A17)-1)*4)*100</f>
        <v>108.14735884715225</v>
      </c>
      <c r="E19" s="23" t="s">
        <v>186</v>
      </c>
      <c r="F19" s="41" cm="1">
        <f t="array" aca="1" ref="F19" ca="1">INDIRECT("'Python Impact of Technique'!R" &amp; 5 + (ROW(A17)-1)*4)</f>
        <v>27458.031120000003</v>
      </c>
      <c r="G19" s="41" cm="1">
        <f t="array" aca="1" ref="G19" ca="1">INDIRECT("'Python Impact of Technique'!R" &amp; 6 + (ROW(A17)-1)*4)</f>
        <v>29191.635450000005</v>
      </c>
      <c r="H19" s="41" cm="1">
        <f t="array" aca="1" ref="H19" ca="1">INDIRECT("'Python Impact of Technique'!V" &amp; 5 + (ROW(D17)-1)*4)*100</f>
        <v>6.313651268088452</v>
      </c>
      <c r="I19" s="23" t="s">
        <v>182</v>
      </c>
      <c r="J19" s="42">
        <f t="shared" ca="1" si="0"/>
        <v>57.230505057620348</v>
      </c>
      <c r="K19" s="41"/>
      <c r="L19" s="41"/>
    </row>
    <row r="20" spans="1:12" x14ac:dyDescent="0.25">
      <c r="A20" s="32" t="s">
        <v>25</v>
      </c>
      <c r="B20" s="48" cm="1">
        <f t="array" aca="1" ref="B20" ca="1">INDIRECT("'Python Impact of Technique'!R" &amp; 3 + (ROW(A18)-1)*4)</f>
        <v>559.12919999999997</v>
      </c>
      <c r="C20" s="41" cm="1">
        <f t="array" aca="1" ref="C20" ca="1">INDIRECT("'Python Impact of Technique'!R" &amp; 4 + (ROW(A18)-1)*4)</f>
        <v>498.29866999999996</v>
      </c>
      <c r="D20" s="41" cm="1">
        <f t="array" aca="1" ref="D20" ca="1">INDIRECT("'Python Impact of Technique'!V" &amp; 3 + (ROW(A18)-1)*4)*100</f>
        <v>-10.879512284459478</v>
      </c>
      <c r="E20" s="23" t="s">
        <v>182</v>
      </c>
      <c r="F20" s="41" cm="1">
        <f t="array" aca="1" ref="F20" ca="1">INDIRECT("'Python Impact of Technique'!R" &amp; 5 + (ROW(A18)-1)*4)</f>
        <v>242.13170000000002</v>
      </c>
      <c r="G20" s="41" cm="1">
        <f t="array" aca="1" ref="G20" ca="1">INDIRECT("'Python Impact of Technique'!R" &amp; 6 + (ROW(A18)-1)*4)</f>
        <v>303.89177999999998</v>
      </c>
      <c r="H20" s="41" cm="1">
        <f t="array" aca="1" ref="H20" ca="1">INDIRECT("'Python Impact of Technique'!V" &amp; 5 + (ROW(D18)-1)*4)*100</f>
        <v>25.506813027786102</v>
      </c>
      <c r="I20" s="23" t="s">
        <v>183</v>
      </c>
      <c r="J20" s="42">
        <f t="shared" ca="1" si="0"/>
        <v>7.3136503716633117</v>
      </c>
      <c r="K20" s="41"/>
      <c r="L20" s="41"/>
    </row>
    <row r="21" spans="1:12" x14ac:dyDescent="0.25">
      <c r="A21" s="32" t="s">
        <v>26</v>
      </c>
      <c r="B21" s="48" cm="1">
        <f t="array" aca="1" ref="B21" ca="1">INDIRECT("'Python Impact of Technique'!R" &amp; 3 + (ROW(A19)-1)*4)</f>
        <v>609.18208000000004</v>
      </c>
      <c r="C21" s="41" cm="1">
        <f t="array" aca="1" ref="C21" ca="1">INDIRECT("'Python Impact of Technique'!R" &amp; 4 + (ROW(A19)-1)*4)</f>
        <v>598.92804000000012</v>
      </c>
      <c r="D21" s="41" cm="1">
        <f t="array" aca="1" ref="D21" ca="1">INDIRECT("'Python Impact of Technique'!V" &amp; 3 + (ROW(A19)-1)*4)*100</f>
        <v>-1.6832471500146422</v>
      </c>
      <c r="E21" s="23" t="s">
        <v>182</v>
      </c>
      <c r="F21" s="41" cm="1">
        <f t="array" aca="1" ref="F21" ca="1">INDIRECT("'Python Impact of Technique'!R" &amp; 5 + (ROW(A19)-1)*4)</f>
        <v>339.83599999999996</v>
      </c>
      <c r="G21" s="41" cm="1">
        <f t="array" aca="1" ref="G21" ca="1">INDIRECT("'Python Impact of Technique'!R" &amp; 6 + (ROW(A19)-1)*4)</f>
        <v>327.38293999999996</v>
      </c>
      <c r="H21" s="41" cm="1">
        <f t="array" aca="1" ref="H21" ca="1">INDIRECT("'Python Impact of Technique'!V" &amp; 5 + (ROW(D19)-1)*4)*100</f>
        <v>-3.664432255558562</v>
      </c>
      <c r="I21" s="23" t="s">
        <v>182</v>
      </c>
      <c r="J21" s="42">
        <f t="shared" ca="1" si="0"/>
        <v>-2.6738397027866023</v>
      </c>
      <c r="K21" s="41"/>
      <c r="L21" s="41"/>
    </row>
    <row r="22" spans="1:12" x14ac:dyDescent="0.25">
      <c r="A22" s="32" t="s">
        <v>29</v>
      </c>
      <c r="B22" s="48" cm="1">
        <f t="array" aca="1" ref="B22" ca="1">INDIRECT("'Python Impact of Technique'!R" &amp; 3 + (ROW(A20)-1)*4)</f>
        <v>4559.2932000000001</v>
      </c>
      <c r="C22" s="41" cm="1">
        <f t="array" aca="1" ref="C22" ca="1">INDIRECT("'Python Impact of Technique'!R" &amp; 4 + (ROW(A20)-1)*4)</f>
        <v>3859.4927499999999</v>
      </c>
      <c r="D22" s="41" cm="1">
        <f t="array" aca="1" ref="D22" ca="1">INDIRECT("'Python Impact of Technique'!V" &amp; 3 + (ROW(A20)-1)*4)*100</f>
        <v>-15.348880172918033</v>
      </c>
      <c r="E22" s="23" t="s">
        <v>184</v>
      </c>
      <c r="F22" s="41" cm="1">
        <f t="array" aca="1" ref="F22" ca="1">INDIRECT("'Python Impact of Technique'!R" &amp; 5 + (ROW(A20)-1)*4)</f>
        <v>3004.9090500000002</v>
      </c>
      <c r="G22" s="41" cm="1">
        <f t="array" aca="1" ref="G22" ca="1">INDIRECT("'Python Impact of Technique'!R" &amp; 6 + (ROW(A20)-1)*4)</f>
        <v>2940.6738</v>
      </c>
      <c r="H22" s="41" cm="1">
        <f t="array" aca="1" ref="H22" ca="1">INDIRECT("'Python Impact of Technique'!V" &amp; 5 + (ROW(D20)-1)*4)*100</f>
        <v>-2.137677012221058</v>
      </c>
      <c r="I22" s="23" t="s">
        <v>183</v>
      </c>
      <c r="J22" s="42">
        <f t="shared" ca="1" si="0"/>
        <v>-8.7432785925695455</v>
      </c>
      <c r="K22" s="41"/>
      <c r="L22" s="41"/>
    </row>
    <row r="23" spans="1:12" x14ac:dyDescent="0.25">
      <c r="A23" s="32" t="s">
        <v>33</v>
      </c>
      <c r="B23" s="48" cm="1">
        <f t="array" aca="1" ref="B23" ca="1">INDIRECT("'Python Impact of Technique'!R" &amp; 3 + (ROW(A21)-1)*4)</f>
        <v>12280.552379999999</v>
      </c>
      <c r="C23" s="41" cm="1">
        <f t="array" aca="1" ref="C23" ca="1">INDIRECT("'Python Impact of Technique'!R" &amp; 4 + (ROW(A21)-1)*4)</f>
        <v>7948.5182500000001</v>
      </c>
      <c r="D23" s="41" cm="1">
        <f t="array" aca="1" ref="D23" ca="1">INDIRECT("'Python Impact of Technique'!V" &amp; 3 + (ROW(A21)-1)*4)*100</f>
        <v>-35.275564127352382</v>
      </c>
      <c r="E23" s="23" t="s">
        <v>182</v>
      </c>
      <c r="F23" s="41" cm="1">
        <f t="array" aca="1" ref="F23" ca="1">INDIRECT("'Python Impact of Technique'!R" &amp; 5 + (ROW(A21)-1)*4)</f>
        <v>9262.3860000000004</v>
      </c>
      <c r="G23" s="41" cm="1">
        <f t="array" aca="1" ref="G23" ca="1">INDIRECT("'Python Impact of Technique'!R" &amp; 6 + (ROW(A21)-1)*4)</f>
        <v>9118.7747199999994</v>
      </c>
      <c r="H23" s="41" cm="1">
        <f t="array" aca="1" ref="H23" ca="1">INDIRECT("'Python Impact of Technique'!V" &amp; 5 + (ROW(D21)-1)*4)*100</f>
        <v>-1.550478246102041</v>
      </c>
      <c r="I23" s="23" t="s">
        <v>183</v>
      </c>
      <c r="J23" s="42">
        <f t="shared" ca="1" si="0"/>
        <v>-18.41302118672721</v>
      </c>
      <c r="K23" s="41"/>
      <c r="L23" s="41"/>
    </row>
    <row r="24" spans="1:12" x14ac:dyDescent="0.25">
      <c r="A24" s="32" t="s">
        <v>37</v>
      </c>
      <c r="B24" s="48" cm="1">
        <f t="array" aca="1" ref="B24" ca="1">INDIRECT("'Python Impact of Technique'!R" &amp; 3 + (ROW(A22)-1)*4)</f>
        <v>351.29556000000002</v>
      </c>
      <c r="C24" s="41" cm="1">
        <f t="array" aca="1" ref="C24" ca="1">INDIRECT("'Python Impact of Technique'!R" &amp; 4 + (ROW(A22)-1)*4)</f>
        <v>366.01539000000002</v>
      </c>
      <c r="D24" s="41" cm="1">
        <f t="array" aca="1" ref="D24" ca="1">INDIRECT("'Python Impact of Technique'!V" &amp; 3 + (ROW(A22)-1)*4)*100</f>
        <v>4.1901554349277861</v>
      </c>
      <c r="E24" s="23" t="s">
        <v>182</v>
      </c>
      <c r="F24" s="41" cm="1">
        <f t="array" aca="1" ref="F24" ca="1">INDIRECT("'Python Impact of Technique'!R" &amp; 5 + (ROW(A22)-1)*4)</f>
        <v>143.54276999999999</v>
      </c>
      <c r="G24" s="41" cm="1">
        <f t="array" aca="1" ref="G24" ca="1">INDIRECT("'Python Impact of Technique'!R" &amp; 6 + (ROW(A22)-1)*4)</f>
        <v>140.51775000000001</v>
      </c>
      <c r="H24" s="41" cm="1">
        <f t="array" aca="1" ref="H24" ca="1">INDIRECT("'Python Impact of Technique'!V" &amp; 5 + (ROW(D22)-1)*4)*100</f>
        <v>-2.1073997666340034</v>
      </c>
      <c r="I24" s="23" t="s">
        <v>183</v>
      </c>
      <c r="J24" s="42">
        <f t="shared" ca="1" si="0"/>
        <v>1.0413778341468913</v>
      </c>
      <c r="K24" s="41"/>
      <c r="L24" s="41"/>
    </row>
    <row r="25" spans="1:12" x14ac:dyDescent="0.25">
      <c r="A25" s="32" t="s">
        <v>39</v>
      </c>
      <c r="B25" s="48" cm="1">
        <f t="array" aca="1" ref="B25" ca="1">INDIRECT("'Python Impact of Technique'!R" &amp; 3 + (ROW(A23)-1)*4)</f>
        <v>5814.2601000000004</v>
      </c>
      <c r="C25" s="41" cm="1">
        <f t="array" aca="1" ref="C25" ca="1">INDIRECT("'Python Impact of Technique'!R" &amp; 4 + (ROW(A23)-1)*4)</f>
        <v>3628.3670399999996</v>
      </c>
      <c r="D25" s="41" cm="1">
        <f t="array" aca="1" ref="D25" ca="1">INDIRECT("'Python Impact of Technique'!V" &amp; 3 + (ROW(A23)-1)*4)*100</f>
        <v>-37.595377957033612</v>
      </c>
      <c r="E25" s="23" t="s">
        <v>183</v>
      </c>
      <c r="F25" s="41" cm="1">
        <f t="array" aca="1" ref="F25" ca="1">INDIRECT("'Python Impact of Technique'!R" &amp; 5 + (ROW(A23)-1)*4)</f>
        <v>5248.7133300000005</v>
      </c>
      <c r="G25" s="41" cm="1">
        <f t="array" aca="1" ref="G25" ca="1">INDIRECT("'Python Impact of Technique'!R" &amp; 6 + (ROW(A23)-1)*4)</f>
        <v>3528.7982400000001</v>
      </c>
      <c r="H25" s="41" cm="1">
        <f t="array" aca="1" ref="H25" ca="1">INDIRECT("'Python Impact of Technique'!V" &amp; 5 + (ROW(D23)-1)*4)*100</f>
        <v>-32.768318288017461</v>
      </c>
      <c r="I25" s="23" t="s">
        <v>186</v>
      </c>
      <c r="J25" s="42">
        <f t="shared" ca="1" si="0"/>
        <v>-35.181848122525537</v>
      </c>
      <c r="K25" s="41"/>
      <c r="L25" s="41"/>
    </row>
    <row r="28" spans="1:12" x14ac:dyDescent="0.25">
      <c r="A28" s="32"/>
      <c r="E28" s="37"/>
    </row>
    <row r="29" spans="1:12" x14ac:dyDescent="0.25">
      <c r="A29" s="32"/>
      <c r="E29" s="37"/>
    </row>
    <row r="30" spans="1:12" x14ac:dyDescent="0.25">
      <c r="A30" s="32"/>
      <c r="E30" s="37"/>
      <c r="H30" s="92"/>
    </row>
    <row r="31" spans="1:12" x14ac:dyDescent="0.25">
      <c r="A31" s="32"/>
      <c r="E31" s="37"/>
    </row>
    <row r="32" spans="1:12" x14ac:dyDescent="0.25">
      <c r="A32" s="32"/>
      <c r="D32" s="112" t="s">
        <v>115</v>
      </c>
      <c r="E32" s="113"/>
      <c r="F32" s="113"/>
      <c r="G32" s="114"/>
      <c r="I32" s="112" t="s">
        <v>66</v>
      </c>
      <c r="J32" s="113"/>
      <c r="K32" s="113"/>
      <c r="L32" s="114"/>
    </row>
    <row r="33" spans="1:12" x14ac:dyDescent="0.25">
      <c r="A33" s="32"/>
      <c r="D33" s="38" t="s">
        <v>100</v>
      </c>
      <c r="E33" s="58" t="s">
        <v>190</v>
      </c>
      <c r="F33" s="58" t="s">
        <v>191</v>
      </c>
      <c r="G33" s="59" t="s">
        <v>192</v>
      </c>
      <c r="I33" s="38" t="s">
        <v>100</v>
      </c>
      <c r="J33" s="58" t="s">
        <v>190</v>
      </c>
      <c r="K33" s="58" t="s">
        <v>191</v>
      </c>
      <c r="L33" s="59" t="s">
        <v>192</v>
      </c>
    </row>
    <row r="34" spans="1:12" x14ac:dyDescent="0.25">
      <c r="A34" s="32"/>
      <c r="D34" s="67" t="s">
        <v>187</v>
      </c>
      <c r="E34" s="1" cm="1">
        <f t="array" aca="1" ref="E34" ca="1">AVERAGE(_xlfn._xlws.FILTER($D$3:$D$25, ISNUMBER(MATCH($A$3:$A$25, _xlfn.TEXTSPLIT(_xlfn.TEXTJOIN(", ", TRUE, O5:O7), ", "), 0))))</f>
        <v>-28.131697747868238</v>
      </c>
      <c r="F34" s="1" cm="1">
        <f t="array" aca="1" ref="F34" ca="1">MIN(_xlfn._xlws.FILTER($D$3:$D$25, ISNUMBER(MATCH($A$3:$A$25, _xlfn.TEXTSPLIT(_xlfn.TEXTJOIN(", ", TRUE, O5:O7), ", "), 0))))</f>
        <v>-70.722544288257268</v>
      </c>
      <c r="G34" s="64" cm="1">
        <f t="array" aca="1" ref="G34" ca="1">MAX(_xlfn._xlws.FILTER($D$3:$D$25, ISNUMBER(MATCH($A$3:$A$25, _xlfn.TEXTSPLIT(_xlfn.TEXTJOIN(", ", TRUE, O5:O7), ", "), 0))))</f>
        <v>-6.610988140650881</v>
      </c>
      <c r="I34" s="67" t="s">
        <v>187</v>
      </c>
      <c r="J34" s="1" cm="1">
        <f t="array" aca="1" ref="J34" ca="1">AVERAGE(_xlfn._xlws.FILTER($H$3:$H$25, ISNUMBER(MATCH($A$3:$A$25, _xlfn.TEXTSPLIT(_xlfn.TEXTJOIN(", ", TRUE, S5:S7), ", "), 0))))</f>
        <v>-28.386527515986128</v>
      </c>
      <c r="K34" s="1" cm="1">
        <f t="array" aca="1" ref="K34" ca="1">MIN(_xlfn._xlws.FILTER($H$3:$H$25, ISNUMBER(MATCH($A$3:$A$25, _xlfn.TEXTSPLIT(_xlfn.TEXTJOIN(", ", TRUE, S5:S7), ", "), 0))))</f>
        <v>-68.83179085128441</v>
      </c>
      <c r="L34" s="64" cm="1">
        <f t="array" aca="1" ref="L34" ca="1">MAX(_xlfn._xlws.FILTER($H$3:$H$25, ISNUMBER(MATCH($A$3:$A$25, _xlfn.TEXTSPLIT(_xlfn.TEXTJOIN(", ", TRUE, S5:S7), ", "), 0))))</f>
        <v>-3.2557547171805044</v>
      </c>
    </row>
    <row r="35" spans="1:12" x14ac:dyDescent="0.25">
      <c r="A35" s="32"/>
      <c r="D35" s="68" t="s">
        <v>188</v>
      </c>
      <c r="E35" s="1" cm="1">
        <f t="array" aca="1" ref="E35" ca="1">AVERAGE(_xlfn._xlws.FILTER($D$3:$D$25, ISNUMBER(MATCH($A$3:$A$25, _xlfn.TEXTSPLIT(_xlfn.TEXTJOIN(", ", TRUE, O8), ", "), 0))))</f>
        <v>-0.48679047775906664</v>
      </c>
      <c r="F35" s="1" cm="1">
        <f t="array" aca="1" ref="F35" ca="1">MIN(_xlfn._xlws.FILTER($D$3:$D$25, ISNUMBER(MATCH($A$3:$A$25, _xlfn.TEXTSPLIT(_xlfn.TEXTJOIN(", ", TRUE, O8), ", "), 0))))</f>
        <v>-1.6832471500146422</v>
      </c>
      <c r="G35" s="64" cm="1">
        <f t="array" aca="1" ref="G35" ca="1">MAX(_xlfn._xlws.FILTER($D$3:$D$25, ISNUMBER(MATCH($A$3:$A$25, _xlfn.TEXTSPLIT(_xlfn.TEXTJOIN(", ", TRUE, O8), ", "), 0))))</f>
        <v>1.1944406736172946</v>
      </c>
      <c r="I35" s="68" t="s">
        <v>188</v>
      </c>
      <c r="J35" s="1" cm="1">
        <f t="array" aca="1" ref="J35" ca="1">AVERAGE(_xlfn._xlws.FILTER($H$3:$H$25, ISNUMBER(MATCH($A$3:$A$25, _xlfn.TEXTSPLIT(_xlfn.TEXTJOIN(", ", TRUE, S8), ", "), 0))))</f>
        <v>-1.3566407019370414</v>
      </c>
      <c r="K35" s="1" cm="1">
        <f t="array" aca="1" ref="K35" ca="1">MIN(_xlfn._xlws.FILTER($H$3:$H$25, ISNUMBER(MATCH($A$3:$A$25, _xlfn.TEXTSPLIT(_xlfn.TEXTJOIN(", ", TRUE, S8), ", "), 0))))</f>
        <v>-2.137677012221058</v>
      </c>
      <c r="L35" s="64" cm="1">
        <f t="array" aca="1" ref="L35" ca="1">MAX(_xlfn._xlws.FILTER($H$3:$H$25, ISNUMBER(MATCH($A$3:$A$25, _xlfn.TEXTSPLIT(_xlfn.TEXTJOIN(", ", TRUE, S8), ", "), 0))))</f>
        <v>0.36899221720893649</v>
      </c>
    </row>
    <row r="36" spans="1:12" x14ac:dyDescent="0.25">
      <c r="A36" s="32"/>
      <c r="D36" s="6" t="s">
        <v>189</v>
      </c>
      <c r="E36" s="66" cm="1">
        <f t="array" aca="1" ref="E36" ca="1">AVERAGE(_xlfn._xlws.FILTER($D$3:$D$25, ISNUMBER(MATCH($A$3:$A$25, _xlfn.TEXTSPLIT(_xlfn.TEXTJOIN(", ", TRUE, O9:O11), ", "), 0))))</f>
        <v>35.310831861702141</v>
      </c>
      <c r="F36" s="66" cm="1">
        <f t="array" aca="1" ref="F36" ca="1">MIN(_xlfn._xlws.FILTER($D$3:$D$25, ISNUMBER(MATCH($A$3:$A$25, _xlfn.TEXTSPLIT(_xlfn.TEXTJOIN(", ", TRUE, O9:O11), ", "), 0))))</f>
        <v>4.1901554349277861</v>
      </c>
      <c r="G36" s="65" cm="1">
        <f t="array" aca="1" ref="G36" ca="1">MAX(_xlfn._xlws.FILTER($D$3:$D$25, ISNUMBER(MATCH($A$3:$A$25, _xlfn.TEXTSPLIT(_xlfn.TEXTJOIN(", ", TRUE, O9:O11), ", "), 0))))</f>
        <v>108.14735884715225</v>
      </c>
      <c r="I36" s="6" t="s">
        <v>189</v>
      </c>
      <c r="J36" s="66" cm="1">
        <f t="array" aca="1" ref="J36" ca="1">AVERAGE(_xlfn._xlws.FILTER($H$3:$H$25, ISNUMBER(MATCH($A$3:$A$25, _xlfn.TEXTSPLIT(_xlfn.TEXTJOIN(", ", TRUE, S9:S11), ", "), 0))))</f>
        <v>16.709923638577376</v>
      </c>
      <c r="K36" s="66" cm="1">
        <f t="array" aca="1" ref="K36" ca="1">MIN(_xlfn._xlws.FILTER($H$3:$H$25, ISNUMBER(MATCH($A$3:$A$25, _xlfn.TEXTSPLIT(_xlfn.TEXTJOIN(", ", TRUE, S9:S11), ", "), 0))))</f>
        <v>6.313651268088452</v>
      </c>
      <c r="L36" s="65" cm="1">
        <f t="array" aca="1" ref="L36" ca="1">MAX(_xlfn._xlws.FILTER($H$3:$H$25, ISNUMBER(MATCH($A$3:$A$25, _xlfn.TEXTSPLIT(_xlfn.TEXTJOIN(", ", TRUE, S9:S11), ", "), 0))))</f>
        <v>25.506813027786102</v>
      </c>
    </row>
    <row r="37" spans="1:12" x14ac:dyDescent="0.25">
      <c r="A37" s="32"/>
      <c r="E37" s="37"/>
    </row>
    <row r="38" spans="1:12" x14ac:dyDescent="0.25">
      <c r="A38" s="32"/>
      <c r="E38" s="37"/>
    </row>
    <row r="39" spans="1:12" x14ac:dyDescent="0.25">
      <c r="A39" s="32"/>
      <c r="E39" s="37"/>
    </row>
    <row r="40" spans="1:12" x14ac:dyDescent="0.25">
      <c r="A40" s="32"/>
      <c r="E40" s="37"/>
      <c r="K40" s="1"/>
    </row>
    <row r="41" spans="1:12" x14ac:dyDescent="0.25">
      <c r="A41" s="32"/>
      <c r="E41" s="37"/>
    </row>
    <row r="42" spans="1:12" x14ac:dyDescent="0.25">
      <c r="A42" s="32"/>
      <c r="E42" s="37"/>
    </row>
    <row r="43" spans="1:12" x14ac:dyDescent="0.25">
      <c r="A43" s="32"/>
      <c r="E43" s="37"/>
    </row>
    <row r="44" spans="1:12" x14ac:dyDescent="0.25">
      <c r="A44" s="32"/>
      <c r="E44" s="37"/>
    </row>
    <row r="45" spans="1:12" x14ac:dyDescent="0.25">
      <c r="A45" s="32"/>
      <c r="E45" s="37"/>
    </row>
    <row r="46" spans="1:12" x14ac:dyDescent="0.25">
      <c r="A46" s="32"/>
      <c r="E46" s="37"/>
    </row>
    <row r="47" spans="1:12" x14ac:dyDescent="0.25">
      <c r="A47" s="32"/>
      <c r="E47" s="37"/>
    </row>
    <row r="48" spans="1:12" x14ac:dyDescent="0.25">
      <c r="A48" s="32"/>
      <c r="E48" s="37"/>
    </row>
    <row r="49" spans="1:5" x14ac:dyDescent="0.25">
      <c r="A49" s="32"/>
      <c r="E49" s="37"/>
    </row>
    <row r="50" spans="1:5" x14ac:dyDescent="0.25">
      <c r="A50" s="32"/>
      <c r="E50" s="37"/>
    </row>
    <row r="51" spans="1:5" x14ac:dyDescent="0.25">
      <c r="A51" s="32"/>
      <c r="E51" s="37"/>
    </row>
    <row r="52" spans="1:5" x14ac:dyDescent="0.25">
      <c r="A52" s="32"/>
      <c r="E52" s="37"/>
    </row>
    <row r="53" spans="1:5" x14ac:dyDescent="0.25">
      <c r="A53" s="43"/>
      <c r="E53" s="37"/>
    </row>
    <row r="54" spans="1:5" x14ac:dyDescent="0.25">
      <c r="E54" s="37"/>
    </row>
    <row r="55" spans="1:5" x14ac:dyDescent="0.25">
      <c r="E55" s="37"/>
    </row>
  </sheetData>
  <mergeCells count="6">
    <mergeCell ref="N3:O3"/>
    <mergeCell ref="R3:S3"/>
    <mergeCell ref="B1:E1"/>
    <mergeCell ref="F1:I1"/>
    <mergeCell ref="D32:G32"/>
    <mergeCell ref="I32:L32"/>
  </mergeCells>
  <conditionalFormatting sqref="D3:D25">
    <cfRule type="expression" dxfId="41" priority="8">
      <formula>AND(D3 &gt; -3, D3 &lt; 3)</formula>
    </cfRule>
    <cfRule type="expression" dxfId="40" priority="9">
      <formula>AND(D3 &gt; -25, D3 &lt;= -3)</formula>
    </cfRule>
    <cfRule type="expression" dxfId="39" priority="10">
      <formula>AND(D3 &gt; -75, D3 &lt;= -25)</formula>
    </cfRule>
    <cfRule type="expression" dxfId="38" priority="11">
      <formula>D3 &lt;= -75</formula>
    </cfRule>
    <cfRule type="expression" dxfId="37" priority="12">
      <formula>AND(D3 &lt; 25, D3 &gt;= 3)</formula>
    </cfRule>
    <cfRule type="expression" dxfId="36" priority="13">
      <formula>AND(D3 &lt; 75, D3 &gt;= 25)</formula>
    </cfRule>
    <cfRule type="expression" dxfId="35" priority="14">
      <formula>D3 &gt;= 75</formula>
    </cfRule>
  </conditionalFormatting>
  <conditionalFormatting sqref="H3:H25">
    <cfRule type="expression" dxfId="34" priority="1">
      <formula>AND(H3 &gt; -3, H3 &lt; 3)</formula>
    </cfRule>
    <cfRule type="expression" dxfId="33" priority="2">
      <formula>AND(H3 &gt; -25, H3 &lt;= -3)</formula>
    </cfRule>
    <cfRule type="expression" dxfId="32" priority="3">
      <formula>AND(H3 &gt; -75, H3 &lt;= -25)</formula>
    </cfRule>
    <cfRule type="expression" dxfId="31" priority="4">
      <formula>H3 &lt;= -75</formula>
    </cfRule>
    <cfRule type="expression" dxfId="30" priority="5">
      <formula>AND(H3 &lt; 25, H3 &gt;= 3)</formula>
    </cfRule>
    <cfRule type="expression" dxfId="29" priority="6">
      <formula>AND(H3 &lt; 75, H3 &gt;= 25)</formula>
    </cfRule>
    <cfRule type="expression" dxfId="28" priority="7">
      <formula>H3 &gt;= 75</formula>
    </cfRule>
  </conditionalFormatting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5AFB-68A7-48A6-ABA5-01000D6F7229}">
  <dimension ref="A1:W94"/>
  <sheetViews>
    <sheetView topLeftCell="A79" zoomScale="115" zoomScaleNormal="115" workbookViewId="0">
      <selection activeCell="B95" sqref="A95:XFD102"/>
    </sheetView>
  </sheetViews>
  <sheetFormatPr baseColWidth="10" defaultColWidth="9.140625" defaultRowHeight="15" x14ac:dyDescent="0.25"/>
  <cols>
    <col min="1" max="1" width="10.28515625" bestFit="1" customWidth="1"/>
    <col min="2" max="2" width="14" style="84" bestFit="1" customWidth="1"/>
    <col min="3" max="3" width="12.5703125" style="84" customWidth="1"/>
    <col min="5" max="5" width="12.7109375" bestFit="1" customWidth="1"/>
    <col min="6" max="6" width="12.7109375" customWidth="1"/>
    <col min="7" max="7" width="18.85546875" bestFit="1" customWidth="1"/>
    <col min="8" max="8" width="8.5703125" bestFit="1" customWidth="1"/>
    <col min="10" max="10" width="8.28515625" bestFit="1" customWidth="1"/>
    <col min="11" max="12" width="10.5703125" bestFit="1" customWidth="1"/>
    <col min="13" max="13" width="11.7109375" bestFit="1" customWidth="1"/>
    <col min="14" max="14" width="9.42578125" bestFit="1" customWidth="1"/>
    <col min="15" max="16" width="10.5703125" bestFit="1" customWidth="1"/>
    <col min="17" max="17" width="12.85546875" bestFit="1" customWidth="1"/>
    <col min="18" max="18" width="14.28515625" customWidth="1"/>
    <col min="19" max="19" width="15" customWidth="1"/>
    <col min="20" max="20" width="11.7109375" customWidth="1"/>
    <col min="22" max="23" width="8.7109375" bestFit="1" customWidth="1"/>
  </cols>
  <sheetData>
    <row r="1" spans="1:23" x14ac:dyDescent="0.25">
      <c r="A1" s="121" t="s">
        <v>45</v>
      </c>
      <c r="B1" s="129" t="s">
        <v>193</v>
      </c>
      <c r="C1" s="129" t="s">
        <v>194</v>
      </c>
      <c r="D1" s="121" t="s">
        <v>46</v>
      </c>
      <c r="E1" s="102" t="s">
        <v>65</v>
      </c>
      <c r="F1" s="121" t="s">
        <v>48</v>
      </c>
      <c r="G1" s="121" t="s">
        <v>197</v>
      </c>
      <c r="H1" s="121" t="s">
        <v>49</v>
      </c>
      <c r="I1" s="121"/>
      <c r="J1" s="121"/>
      <c r="K1" s="121" t="s">
        <v>50</v>
      </c>
      <c r="L1" s="121"/>
      <c r="M1" s="121"/>
      <c r="N1" s="121" t="s">
        <v>51</v>
      </c>
      <c r="O1" s="121"/>
      <c r="P1" s="121"/>
      <c r="Q1" s="111" t="s">
        <v>195</v>
      </c>
      <c r="R1" s="111"/>
      <c r="S1" s="111"/>
      <c r="T1" s="121" t="s">
        <v>52</v>
      </c>
      <c r="U1" s="121"/>
      <c r="V1" s="121"/>
      <c r="W1" s="121"/>
    </row>
    <row r="2" spans="1:23" x14ac:dyDescent="0.25">
      <c r="A2" s="121"/>
      <c r="B2" s="130"/>
      <c r="C2" s="131"/>
      <c r="D2" s="121"/>
      <c r="E2" s="103"/>
      <c r="F2" s="121"/>
      <c r="G2" s="102"/>
      <c r="H2" s="16" t="s">
        <v>53</v>
      </c>
      <c r="I2" s="16" t="s">
        <v>54</v>
      </c>
      <c r="J2" s="16" t="s">
        <v>55</v>
      </c>
      <c r="K2" s="16" t="s">
        <v>56</v>
      </c>
      <c r="L2" s="16" t="s">
        <v>57</v>
      </c>
      <c r="M2" s="16" t="s">
        <v>58</v>
      </c>
      <c r="N2" s="16" t="s">
        <v>56</v>
      </c>
      <c r="O2" s="16" t="s">
        <v>57</v>
      </c>
      <c r="P2" s="16" t="s">
        <v>58</v>
      </c>
      <c r="Q2" s="16" t="s">
        <v>56</v>
      </c>
      <c r="R2" s="16" t="s">
        <v>57</v>
      </c>
      <c r="S2" s="16" t="s">
        <v>58</v>
      </c>
      <c r="T2" s="16" t="s">
        <v>48</v>
      </c>
      <c r="U2" s="16" t="s">
        <v>56</v>
      </c>
      <c r="V2" s="16" t="s">
        <v>57</v>
      </c>
      <c r="W2" s="16" t="s">
        <v>58</v>
      </c>
    </row>
    <row r="3" spans="1:23" x14ac:dyDescent="0.25">
      <c r="A3" s="110" t="s">
        <v>101</v>
      </c>
      <c r="B3" s="91">
        <v>100000000</v>
      </c>
      <c r="C3" s="91">
        <f>100000000/B3</f>
        <v>1</v>
      </c>
      <c r="D3" s="110" t="s">
        <v>59</v>
      </c>
      <c r="E3" s="6"/>
      <c r="F3" s="54">
        <v>88.540999999999997</v>
      </c>
      <c r="G3" s="52">
        <f>F3*C3</f>
        <v>88.540999999999997</v>
      </c>
      <c r="H3" s="53">
        <v>1.63</v>
      </c>
      <c r="I3" s="53">
        <v>26.21</v>
      </c>
      <c r="J3" s="53">
        <v>175.9</v>
      </c>
      <c r="K3" s="54">
        <v>144.32182999999998</v>
      </c>
      <c r="L3" s="53">
        <v>2320.6596100000002</v>
      </c>
      <c r="M3" s="55">
        <v>15574.3619</v>
      </c>
      <c r="N3" s="54">
        <v>107.13461</v>
      </c>
      <c r="O3" s="53">
        <v>2269.3058299999998</v>
      </c>
      <c r="P3" s="55">
        <v>5830.4248499999994</v>
      </c>
      <c r="Q3" s="54">
        <f>N3*C3</f>
        <v>107.13461</v>
      </c>
      <c r="R3" s="53">
        <f>O3*C3</f>
        <v>2269.3058299999998</v>
      </c>
      <c r="S3" s="55">
        <f>P3*C3</f>
        <v>5830.4248499999994</v>
      </c>
      <c r="T3" s="107">
        <f>(G4-G3)/G3</f>
        <v>0.47149907952248127</v>
      </c>
      <c r="U3" s="108">
        <f>(N4-N3)/N3</f>
        <v>0.99442850447675146</v>
      </c>
      <c r="V3" s="108">
        <f>(O4-O3)/O3</f>
        <v>0.41523419080098184</v>
      </c>
      <c r="W3" s="109">
        <f>(P4-P3)/P3</f>
        <v>0.38926496239806641</v>
      </c>
    </row>
    <row r="4" spans="1:23" x14ac:dyDescent="0.25">
      <c r="A4" s="110"/>
      <c r="B4" s="91">
        <v>100000000</v>
      </c>
      <c r="C4" s="91">
        <f t="shared" ref="C4:C63" si="0">100000000/B4</f>
        <v>1</v>
      </c>
      <c r="D4" s="110"/>
      <c r="E4" s="5" t="s">
        <v>66</v>
      </c>
      <c r="F4" s="19">
        <v>130.28800000000001</v>
      </c>
      <c r="G4" s="17">
        <f t="shared" ref="G4:G63" si="1">F4*C4</f>
        <v>130.28800000000001</v>
      </c>
      <c r="H4" s="18">
        <v>2.06</v>
      </c>
      <c r="I4" s="18">
        <v>25.23</v>
      </c>
      <c r="J4" s="18">
        <v>172.23</v>
      </c>
      <c r="K4" s="19">
        <v>268.39328</v>
      </c>
      <c r="L4" s="18">
        <v>3287.1662400000005</v>
      </c>
      <c r="M4" s="20">
        <v>22439.502240000002</v>
      </c>
      <c r="N4" s="19">
        <v>213.67232000000001</v>
      </c>
      <c r="O4" s="18">
        <v>3211.5992000000001</v>
      </c>
      <c r="P4" s="20">
        <v>8100.0049600000011</v>
      </c>
      <c r="Q4" s="19">
        <f t="shared" ref="Q4:Q63" si="2">N4*C4</f>
        <v>213.67232000000001</v>
      </c>
      <c r="R4" s="18">
        <f t="shared" ref="R4:R63" si="3">O4*C4</f>
        <v>3211.5992000000001</v>
      </c>
      <c r="S4" s="20">
        <f t="shared" ref="S4:S63" si="4">P4*C4</f>
        <v>8100.0049600000011</v>
      </c>
      <c r="T4" s="107"/>
      <c r="U4" s="108"/>
      <c r="V4" s="108"/>
      <c r="W4" s="109"/>
    </row>
    <row r="5" spans="1:23" x14ac:dyDescent="0.25">
      <c r="A5" s="110"/>
      <c r="B5" s="91">
        <v>100000000</v>
      </c>
      <c r="C5" s="91">
        <f t="shared" si="0"/>
        <v>1</v>
      </c>
      <c r="D5" s="110" t="s">
        <v>62</v>
      </c>
      <c r="E5" s="6"/>
      <c r="F5" s="19">
        <v>46.920999999999999</v>
      </c>
      <c r="G5" s="17">
        <f t="shared" si="1"/>
        <v>46.920999999999999</v>
      </c>
      <c r="H5" s="18">
        <v>2.6</v>
      </c>
      <c r="I5" s="18">
        <v>25.59</v>
      </c>
      <c r="J5" s="18">
        <v>171.89</v>
      </c>
      <c r="K5" s="19">
        <v>121.99460000000001</v>
      </c>
      <c r="L5" s="18">
        <v>1200.70839</v>
      </c>
      <c r="M5" s="20">
        <v>8065.2506899999989</v>
      </c>
      <c r="N5" s="19">
        <v>102.28778000000001</v>
      </c>
      <c r="O5" s="18">
        <v>1173.4942100000001</v>
      </c>
      <c r="P5" s="20">
        <v>2901.1254300000001</v>
      </c>
      <c r="Q5" s="19">
        <f t="shared" si="2"/>
        <v>102.28778000000001</v>
      </c>
      <c r="R5" s="18">
        <f t="shared" si="3"/>
        <v>1173.4942100000001</v>
      </c>
      <c r="S5" s="20">
        <f t="shared" si="4"/>
        <v>2901.1254300000001</v>
      </c>
      <c r="T5" s="107">
        <f>(G6-G5)/G5</f>
        <v>-6.5279938620234068E-2</v>
      </c>
      <c r="U5" s="108">
        <f>(N6-N5)/N5</f>
        <v>-5.6704525213080302E-2</v>
      </c>
      <c r="V5" s="108">
        <f>(O6-O5)/O5</f>
        <v>-0.10825986947136297</v>
      </c>
      <c r="W5" s="109">
        <f>(P6-P5)/P5</f>
        <v>-9.173570616696862E-2</v>
      </c>
    </row>
    <row r="6" spans="1:23" x14ac:dyDescent="0.25">
      <c r="A6" s="110"/>
      <c r="B6" s="91">
        <v>100000000</v>
      </c>
      <c r="C6" s="91">
        <f t="shared" si="0"/>
        <v>1</v>
      </c>
      <c r="D6" s="110"/>
      <c r="E6" s="5" t="s">
        <v>66</v>
      </c>
      <c r="F6" s="19">
        <v>43.857999999999997</v>
      </c>
      <c r="G6" s="17">
        <f t="shared" si="1"/>
        <v>43.857999999999997</v>
      </c>
      <c r="H6" s="18">
        <v>2.62</v>
      </c>
      <c r="I6" s="18">
        <v>24.44</v>
      </c>
      <c r="J6" s="18">
        <v>170.14</v>
      </c>
      <c r="K6" s="19">
        <v>114.90796</v>
      </c>
      <c r="L6" s="18">
        <v>1071.8895199999999</v>
      </c>
      <c r="M6" s="20">
        <v>7462.0001199999988</v>
      </c>
      <c r="N6" s="19">
        <v>96.4876</v>
      </c>
      <c r="O6" s="18">
        <v>1046.4518799999998</v>
      </c>
      <c r="P6" s="20">
        <v>2634.9886399999996</v>
      </c>
      <c r="Q6" s="19">
        <f t="shared" si="2"/>
        <v>96.4876</v>
      </c>
      <c r="R6" s="18">
        <f t="shared" si="3"/>
        <v>1046.4518799999998</v>
      </c>
      <c r="S6" s="20">
        <f t="shared" si="4"/>
        <v>2634.9886399999996</v>
      </c>
      <c r="T6" s="107"/>
      <c r="U6" s="108"/>
      <c r="V6" s="108"/>
      <c r="W6" s="109"/>
    </row>
    <row r="7" spans="1:23" x14ac:dyDescent="0.25">
      <c r="A7" s="110" t="s">
        <v>103</v>
      </c>
      <c r="B7" s="91">
        <v>100000000</v>
      </c>
      <c r="C7" s="91">
        <f t="shared" si="0"/>
        <v>1</v>
      </c>
      <c r="D7" s="110" t="s">
        <v>59</v>
      </c>
      <c r="E7" s="6"/>
      <c r="F7" s="19">
        <v>20.123000000000001</v>
      </c>
      <c r="G7" s="17">
        <f t="shared" si="1"/>
        <v>20.123000000000001</v>
      </c>
      <c r="H7" s="18">
        <v>5.76</v>
      </c>
      <c r="I7" s="18">
        <v>36.47</v>
      </c>
      <c r="J7" s="18">
        <v>165.68</v>
      </c>
      <c r="K7" s="19">
        <v>115.90848</v>
      </c>
      <c r="L7" s="18">
        <v>733.88580999999999</v>
      </c>
      <c r="M7" s="20">
        <v>3333.9786400000003</v>
      </c>
      <c r="N7" s="19">
        <v>107.45681999999999</v>
      </c>
      <c r="O7" s="18">
        <v>698.87178999999992</v>
      </c>
      <c r="P7" s="20">
        <v>1405.79278</v>
      </c>
      <c r="Q7" s="19">
        <f t="shared" si="2"/>
        <v>107.45681999999999</v>
      </c>
      <c r="R7" s="18">
        <f t="shared" si="3"/>
        <v>698.87178999999992</v>
      </c>
      <c r="S7" s="20">
        <f t="shared" si="4"/>
        <v>1405.79278</v>
      </c>
      <c r="T7" s="107">
        <f>(G8-G7)/G7</f>
        <v>-4.5867912339114532E-2</v>
      </c>
      <c r="U7" s="108">
        <f>(N8-N7)/N7</f>
        <v>-0.38356634785954025</v>
      </c>
      <c r="V7" s="108">
        <f>(O8-O7)/O7</f>
        <v>-0.19010037592159781</v>
      </c>
      <c r="W7" s="109">
        <f>(P8-P7)/P7</f>
        <v>-0.10268425194216742</v>
      </c>
    </row>
    <row r="8" spans="1:23" x14ac:dyDescent="0.25">
      <c r="A8" s="110"/>
      <c r="B8" s="91">
        <v>100000000</v>
      </c>
      <c r="C8" s="91">
        <f t="shared" si="0"/>
        <v>1</v>
      </c>
      <c r="D8" s="110"/>
      <c r="E8" s="5" t="s">
        <v>66</v>
      </c>
      <c r="F8" s="19">
        <v>19.2</v>
      </c>
      <c r="G8" s="17">
        <f t="shared" si="1"/>
        <v>19.2</v>
      </c>
      <c r="H8" s="18">
        <v>3.87</v>
      </c>
      <c r="I8" s="18">
        <v>31.22</v>
      </c>
      <c r="J8" s="18">
        <v>161.52000000000001</v>
      </c>
      <c r="K8" s="19">
        <v>74.304000000000002</v>
      </c>
      <c r="L8" s="18">
        <v>599.42399999999998</v>
      </c>
      <c r="M8" s="20">
        <v>3101.1840000000002</v>
      </c>
      <c r="N8" s="19">
        <v>66.239999999999995</v>
      </c>
      <c r="O8" s="18">
        <v>566.01599999999996</v>
      </c>
      <c r="P8" s="20">
        <v>1261.44</v>
      </c>
      <c r="Q8" s="19">
        <f t="shared" si="2"/>
        <v>66.239999999999995</v>
      </c>
      <c r="R8" s="18">
        <f t="shared" si="3"/>
        <v>566.01599999999996</v>
      </c>
      <c r="S8" s="20">
        <f t="shared" si="4"/>
        <v>1261.44</v>
      </c>
      <c r="T8" s="107"/>
      <c r="U8" s="108"/>
      <c r="V8" s="108"/>
      <c r="W8" s="109"/>
    </row>
    <row r="9" spans="1:23" x14ac:dyDescent="0.25">
      <c r="A9" s="110"/>
      <c r="B9" s="91">
        <v>100000000</v>
      </c>
      <c r="C9" s="91">
        <f t="shared" si="0"/>
        <v>1</v>
      </c>
      <c r="D9" s="110" t="s">
        <v>62</v>
      </c>
      <c r="E9" s="6"/>
      <c r="F9" s="19">
        <v>14.173</v>
      </c>
      <c r="G9" s="17">
        <f t="shared" si="1"/>
        <v>14.173</v>
      </c>
      <c r="H9" s="18">
        <v>3.61</v>
      </c>
      <c r="I9" s="18">
        <v>32.119999999999997</v>
      </c>
      <c r="J9" s="18">
        <v>163.21</v>
      </c>
      <c r="K9" s="19">
        <v>51.164529999999999</v>
      </c>
      <c r="L9" s="18">
        <v>455.23675999999995</v>
      </c>
      <c r="M9" s="20">
        <v>2313.17533</v>
      </c>
      <c r="N9" s="19">
        <v>45.211869999999998</v>
      </c>
      <c r="O9" s="18">
        <v>430.57574</v>
      </c>
      <c r="P9" s="20">
        <v>955.11847</v>
      </c>
      <c r="Q9" s="19">
        <f t="shared" si="2"/>
        <v>45.211869999999998</v>
      </c>
      <c r="R9" s="18">
        <f t="shared" si="3"/>
        <v>430.57574</v>
      </c>
      <c r="S9" s="20">
        <f t="shared" si="4"/>
        <v>955.11847</v>
      </c>
      <c r="T9" s="107">
        <f>(G10-G9)/G9</f>
        <v>-0.19163197629295134</v>
      </c>
      <c r="U9" s="108">
        <f>(N10-N9)/N9</f>
        <v>-0.18909790725311723</v>
      </c>
      <c r="V9" s="108">
        <f>(O10-O9)/O9</f>
        <v>-0.24671169351064695</v>
      </c>
      <c r="W9" s="109">
        <f>(P10-P9)/P9</f>
        <v>-0.24345197721911913</v>
      </c>
    </row>
    <row r="10" spans="1:23" x14ac:dyDescent="0.25">
      <c r="A10" s="110"/>
      <c r="B10" s="91">
        <v>100000000</v>
      </c>
      <c r="C10" s="91">
        <f t="shared" si="0"/>
        <v>1</v>
      </c>
      <c r="D10" s="110"/>
      <c r="E10" s="5" t="s">
        <v>66</v>
      </c>
      <c r="F10" s="19">
        <v>11.457000000000001</v>
      </c>
      <c r="G10" s="17">
        <f t="shared" si="1"/>
        <v>11.457000000000001</v>
      </c>
      <c r="H10" s="18">
        <v>3.62</v>
      </c>
      <c r="I10" s="18">
        <v>30.05</v>
      </c>
      <c r="J10" s="18">
        <v>158.88999999999999</v>
      </c>
      <c r="K10" s="19">
        <v>41.474340000000005</v>
      </c>
      <c r="L10" s="18">
        <v>344.28285000000005</v>
      </c>
      <c r="M10" s="20">
        <v>1820.40273</v>
      </c>
      <c r="N10" s="19">
        <v>36.662400000000005</v>
      </c>
      <c r="O10" s="18">
        <v>324.34766999999999</v>
      </c>
      <c r="P10" s="20">
        <v>722.5929900000001</v>
      </c>
      <c r="Q10" s="19">
        <f t="shared" si="2"/>
        <v>36.662400000000005</v>
      </c>
      <c r="R10" s="18">
        <f t="shared" si="3"/>
        <v>324.34766999999999</v>
      </c>
      <c r="S10" s="20">
        <f t="shared" si="4"/>
        <v>722.5929900000001</v>
      </c>
      <c r="T10" s="107"/>
      <c r="U10" s="108"/>
      <c r="V10" s="108"/>
      <c r="W10" s="109"/>
    </row>
    <row r="11" spans="1:23" x14ac:dyDescent="0.25">
      <c r="A11" s="110" t="s">
        <v>105</v>
      </c>
      <c r="B11" s="91">
        <v>100000000</v>
      </c>
      <c r="C11" s="91">
        <f t="shared" si="0"/>
        <v>1</v>
      </c>
      <c r="D11" s="110" t="s">
        <v>59</v>
      </c>
      <c r="E11" s="6"/>
      <c r="F11" s="19">
        <v>24.571999999999999</v>
      </c>
      <c r="G11" s="17">
        <f t="shared" si="1"/>
        <v>24.571999999999999</v>
      </c>
      <c r="H11" s="18">
        <v>5.87</v>
      </c>
      <c r="I11" s="18">
        <v>32.43</v>
      </c>
      <c r="J11" s="18">
        <v>156.43</v>
      </c>
      <c r="K11" s="19">
        <v>144.23764</v>
      </c>
      <c r="L11" s="18">
        <v>796.86995999999999</v>
      </c>
      <c r="M11" s="20">
        <v>3843.7979599999999</v>
      </c>
      <c r="N11" s="19">
        <v>102.95668000000001</v>
      </c>
      <c r="O11" s="18">
        <v>711.11368000000004</v>
      </c>
      <c r="P11" s="20">
        <v>1393.7238399999999</v>
      </c>
      <c r="Q11" s="19">
        <f t="shared" si="2"/>
        <v>102.95668000000001</v>
      </c>
      <c r="R11" s="18">
        <f t="shared" si="3"/>
        <v>711.11368000000004</v>
      </c>
      <c r="S11" s="20">
        <f t="shared" si="4"/>
        <v>1393.7238399999999</v>
      </c>
      <c r="T11" s="107">
        <f>(G12-G11)/G11</f>
        <v>-0.25423245971023928</v>
      </c>
      <c r="U11" s="108">
        <f>(N12-N11)/N11</f>
        <v>-0.25779220930589453</v>
      </c>
      <c r="V11" s="108">
        <f>(O12-O11)/O11</f>
        <v>-0.26995181698656118</v>
      </c>
      <c r="W11" s="109">
        <f>(P12-P11)/P11</f>
        <v>-0.26264732617331132</v>
      </c>
    </row>
    <row r="12" spans="1:23" x14ac:dyDescent="0.25">
      <c r="A12" s="110"/>
      <c r="B12" s="91">
        <v>100000000</v>
      </c>
      <c r="C12" s="91">
        <f t="shared" si="0"/>
        <v>1</v>
      </c>
      <c r="D12" s="110"/>
      <c r="E12" s="5" t="s">
        <v>66</v>
      </c>
      <c r="F12" s="19">
        <v>18.324999999999999</v>
      </c>
      <c r="G12" s="17">
        <f t="shared" si="1"/>
        <v>18.324999999999999</v>
      </c>
      <c r="H12" s="18">
        <v>5.85</v>
      </c>
      <c r="I12" s="18">
        <v>31.82</v>
      </c>
      <c r="J12" s="18">
        <v>155.79</v>
      </c>
      <c r="K12" s="19">
        <v>107.20124999999999</v>
      </c>
      <c r="L12" s="18">
        <v>583.10149999999999</v>
      </c>
      <c r="M12" s="20">
        <v>2854.8517499999998</v>
      </c>
      <c r="N12" s="19">
        <v>76.41525</v>
      </c>
      <c r="O12" s="18">
        <v>519.14724999999999</v>
      </c>
      <c r="P12" s="20">
        <v>1027.6659999999999</v>
      </c>
      <c r="Q12" s="19">
        <f t="shared" si="2"/>
        <v>76.41525</v>
      </c>
      <c r="R12" s="18">
        <f t="shared" si="3"/>
        <v>519.14724999999999</v>
      </c>
      <c r="S12" s="20">
        <f t="shared" si="4"/>
        <v>1027.6659999999999</v>
      </c>
      <c r="T12" s="107"/>
      <c r="U12" s="108"/>
      <c r="V12" s="108"/>
      <c r="W12" s="109"/>
    </row>
    <row r="13" spans="1:23" x14ac:dyDescent="0.25">
      <c r="A13" s="110"/>
      <c r="B13" s="91">
        <v>100000000</v>
      </c>
      <c r="C13" s="91">
        <f t="shared" si="0"/>
        <v>1</v>
      </c>
      <c r="D13" s="110" t="s">
        <v>62</v>
      </c>
      <c r="E13" s="6"/>
      <c r="F13" s="19">
        <v>7.0940000000000003</v>
      </c>
      <c r="G13" s="17">
        <f t="shared" si="1"/>
        <v>7.0940000000000003</v>
      </c>
      <c r="H13" s="18">
        <v>5.83</v>
      </c>
      <c r="I13" s="18">
        <v>31.98</v>
      </c>
      <c r="J13" s="18">
        <v>157.22999999999999</v>
      </c>
      <c r="K13" s="19">
        <v>41.358020000000003</v>
      </c>
      <c r="L13" s="18">
        <v>226.86612000000002</v>
      </c>
      <c r="M13" s="20">
        <v>1115.3896199999999</v>
      </c>
      <c r="N13" s="19">
        <v>29.440100000000005</v>
      </c>
      <c r="O13" s="18">
        <v>202.10805999999999</v>
      </c>
      <c r="P13" s="20">
        <v>408.04688000000004</v>
      </c>
      <c r="Q13" s="19">
        <f t="shared" si="2"/>
        <v>29.440100000000005</v>
      </c>
      <c r="R13" s="18">
        <f t="shared" si="3"/>
        <v>202.10805999999999</v>
      </c>
      <c r="S13" s="20">
        <f t="shared" si="4"/>
        <v>408.04688000000004</v>
      </c>
      <c r="T13" s="107">
        <f>(G14-G13)/G13</f>
        <v>9.1485762616295457E-2</v>
      </c>
      <c r="U13" s="108">
        <f>(N14-N13)/N13</f>
        <v>8.3595504091358241E-2</v>
      </c>
      <c r="V13" s="108">
        <f>(O14-O13)/O13</f>
        <v>0.13822541268270061</v>
      </c>
      <c r="W13" s="109">
        <f>(P14-P13)/P13</f>
        <v>0.17004541242908155</v>
      </c>
    </row>
    <row r="14" spans="1:23" x14ac:dyDescent="0.25">
      <c r="A14" s="110"/>
      <c r="B14" s="91">
        <v>100000000</v>
      </c>
      <c r="C14" s="91">
        <f t="shared" si="0"/>
        <v>1</v>
      </c>
      <c r="D14" s="110"/>
      <c r="E14" s="5" t="s">
        <v>66</v>
      </c>
      <c r="F14" s="19">
        <v>7.7430000000000003</v>
      </c>
      <c r="G14" s="17">
        <f t="shared" si="1"/>
        <v>7.7430000000000003</v>
      </c>
      <c r="H14" s="18">
        <v>5.8</v>
      </c>
      <c r="I14" s="18">
        <v>33.200000000000003</v>
      </c>
      <c r="J14" s="18">
        <v>161.37</v>
      </c>
      <c r="K14" s="19">
        <v>44.909399999999998</v>
      </c>
      <c r="L14" s="18">
        <v>257.06760000000003</v>
      </c>
      <c r="M14" s="20">
        <v>1249.4879100000001</v>
      </c>
      <c r="N14" s="19">
        <v>31.901160000000001</v>
      </c>
      <c r="O14" s="18">
        <v>230.04453000000001</v>
      </c>
      <c r="P14" s="20">
        <v>477.43338</v>
      </c>
      <c r="Q14" s="19">
        <f t="shared" si="2"/>
        <v>31.901160000000001</v>
      </c>
      <c r="R14" s="18">
        <f t="shared" si="3"/>
        <v>230.04453000000001</v>
      </c>
      <c r="S14" s="20">
        <f t="shared" si="4"/>
        <v>477.43338</v>
      </c>
      <c r="T14" s="107"/>
      <c r="U14" s="108"/>
      <c r="V14" s="108"/>
      <c r="W14" s="109"/>
    </row>
    <row r="15" spans="1:23" x14ac:dyDescent="0.25">
      <c r="A15" s="110" t="s">
        <v>104</v>
      </c>
      <c r="B15" s="91">
        <v>100000000</v>
      </c>
      <c r="C15" s="91">
        <f t="shared" si="0"/>
        <v>1</v>
      </c>
      <c r="D15" s="110" t="s">
        <v>59</v>
      </c>
      <c r="E15" s="6"/>
      <c r="F15" s="19">
        <v>5.617</v>
      </c>
      <c r="G15" s="17">
        <f t="shared" si="1"/>
        <v>5.617</v>
      </c>
      <c r="H15" s="18">
        <v>5.61</v>
      </c>
      <c r="I15" s="18">
        <v>32.369999999999997</v>
      </c>
      <c r="J15" s="18">
        <v>158.01</v>
      </c>
      <c r="K15" s="19">
        <v>31.511370000000003</v>
      </c>
      <c r="L15" s="18">
        <v>181.82228999999998</v>
      </c>
      <c r="M15" s="20">
        <v>887.54216999999994</v>
      </c>
      <c r="N15" s="19">
        <v>24.939480000000003</v>
      </c>
      <c r="O15" s="18">
        <v>165.47682</v>
      </c>
      <c r="P15" s="20">
        <v>348.36634000000004</v>
      </c>
      <c r="Q15" s="19">
        <f t="shared" si="2"/>
        <v>24.939480000000003</v>
      </c>
      <c r="R15" s="18">
        <f t="shared" si="3"/>
        <v>165.47682</v>
      </c>
      <c r="S15" s="20">
        <f t="shared" si="4"/>
        <v>348.36634000000004</v>
      </c>
      <c r="T15" s="107">
        <f>(G16-G15)/G15</f>
        <v>-0.53427096314758771</v>
      </c>
      <c r="U15" s="108">
        <f>(N16-N15)/N15</f>
        <v>-0.51853687406473592</v>
      </c>
      <c r="V15" s="108">
        <f>(O16-O15)/O15</f>
        <v>-0.57521591241601089</v>
      </c>
      <c r="W15" s="109">
        <f>(P16-P15)/P15</f>
        <v>-0.54651118130414089</v>
      </c>
    </row>
    <row r="16" spans="1:23" x14ac:dyDescent="0.25">
      <c r="A16" s="110"/>
      <c r="B16" s="91">
        <v>100000000</v>
      </c>
      <c r="C16" s="91">
        <f t="shared" si="0"/>
        <v>1</v>
      </c>
      <c r="D16" s="110"/>
      <c r="E16" s="5" t="s">
        <v>66</v>
      </c>
      <c r="F16" s="19">
        <v>2.6160000000000001</v>
      </c>
      <c r="G16" s="17">
        <f t="shared" si="1"/>
        <v>2.6160000000000001</v>
      </c>
      <c r="H16" s="18">
        <v>5.76</v>
      </c>
      <c r="I16" s="18">
        <v>29.78</v>
      </c>
      <c r="J16" s="18">
        <v>156.38</v>
      </c>
      <c r="K16" s="19">
        <v>15.068160000000001</v>
      </c>
      <c r="L16" s="18">
        <v>77.904480000000007</v>
      </c>
      <c r="M16" s="20">
        <v>409.09008</v>
      </c>
      <c r="N16" s="19">
        <v>12.007440000000001</v>
      </c>
      <c r="O16" s="18">
        <v>70.291920000000005</v>
      </c>
      <c r="P16" s="20">
        <v>157.98024000000001</v>
      </c>
      <c r="Q16" s="19">
        <f t="shared" si="2"/>
        <v>12.007440000000001</v>
      </c>
      <c r="R16" s="18">
        <f t="shared" si="3"/>
        <v>70.291920000000005</v>
      </c>
      <c r="S16" s="20">
        <f t="shared" si="4"/>
        <v>157.98024000000001</v>
      </c>
      <c r="T16" s="107"/>
      <c r="U16" s="108"/>
      <c r="V16" s="108"/>
      <c r="W16" s="109"/>
    </row>
    <row r="17" spans="1:23" x14ac:dyDescent="0.25">
      <c r="A17" s="110"/>
      <c r="B17" s="91">
        <v>100000000</v>
      </c>
      <c r="C17" s="91">
        <f t="shared" si="0"/>
        <v>1</v>
      </c>
      <c r="D17" s="110" t="s">
        <v>62</v>
      </c>
      <c r="E17" s="6"/>
      <c r="F17" s="19">
        <v>4.3540000000000001</v>
      </c>
      <c r="G17" s="17">
        <f t="shared" si="1"/>
        <v>4.3540000000000001</v>
      </c>
      <c r="H17" s="18">
        <v>5.95</v>
      </c>
      <c r="I17" s="18">
        <v>30.8</v>
      </c>
      <c r="J17" s="18">
        <v>156.86000000000001</v>
      </c>
      <c r="K17" s="19">
        <v>25.906300000000002</v>
      </c>
      <c r="L17" s="18">
        <v>134.10320000000002</v>
      </c>
      <c r="M17" s="20">
        <v>682.9684400000001</v>
      </c>
      <c r="N17" s="19">
        <v>20.81212</v>
      </c>
      <c r="O17" s="18">
        <v>121.43306000000001</v>
      </c>
      <c r="P17" s="20">
        <v>265.02798000000001</v>
      </c>
      <c r="Q17" s="19">
        <f t="shared" si="2"/>
        <v>20.81212</v>
      </c>
      <c r="R17" s="18">
        <f t="shared" si="3"/>
        <v>121.43306000000001</v>
      </c>
      <c r="S17" s="20">
        <f t="shared" si="4"/>
        <v>265.02798000000001</v>
      </c>
      <c r="T17" s="107">
        <f>(G18-G17)/G17</f>
        <v>-0.51745521359669266</v>
      </c>
      <c r="U17" s="108">
        <f>(N18-N17)/N17</f>
        <v>-0.53057881657418848</v>
      </c>
      <c r="V17" s="108">
        <f>(O18-O17)/O17</f>
        <v>-0.56001742853223013</v>
      </c>
      <c r="W17" s="109">
        <f>(P18-P17)/P17</f>
        <v>-0.51801013613732416</v>
      </c>
    </row>
    <row r="18" spans="1:23" x14ac:dyDescent="0.25">
      <c r="A18" s="110"/>
      <c r="B18" s="91">
        <v>100000000</v>
      </c>
      <c r="C18" s="91">
        <f t="shared" si="0"/>
        <v>1</v>
      </c>
      <c r="D18" s="110"/>
      <c r="E18" s="5" t="s">
        <v>66</v>
      </c>
      <c r="F18" s="19">
        <v>2.101</v>
      </c>
      <c r="G18" s="17">
        <f t="shared" si="1"/>
        <v>2.101</v>
      </c>
      <c r="H18" s="18">
        <v>5.82</v>
      </c>
      <c r="I18" s="18">
        <v>28.34</v>
      </c>
      <c r="J18" s="18">
        <v>156.79</v>
      </c>
      <c r="K18" s="19">
        <v>12.227820000000001</v>
      </c>
      <c r="L18" s="18">
        <v>59.542339999999996</v>
      </c>
      <c r="M18" s="20">
        <v>329.41578999999996</v>
      </c>
      <c r="N18" s="19">
        <v>9.7696500000000004</v>
      </c>
      <c r="O18" s="18">
        <v>53.428429999999999</v>
      </c>
      <c r="P18" s="20">
        <v>127.74079999999999</v>
      </c>
      <c r="Q18" s="19">
        <f t="shared" si="2"/>
        <v>9.7696500000000004</v>
      </c>
      <c r="R18" s="18">
        <f t="shared" si="3"/>
        <v>53.428429999999999</v>
      </c>
      <c r="S18" s="20">
        <f t="shared" si="4"/>
        <v>127.74079999999999</v>
      </c>
      <c r="T18" s="107"/>
      <c r="U18" s="108"/>
      <c r="V18" s="108"/>
      <c r="W18" s="109"/>
    </row>
    <row r="19" spans="1:23" x14ac:dyDescent="0.25">
      <c r="A19" s="110" t="s">
        <v>1</v>
      </c>
      <c r="B19" s="91">
        <v>100000000</v>
      </c>
      <c r="C19" s="91">
        <f t="shared" si="0"/>
        <v>1</v>
      </c>
      <c r="D19" s="110" t="s">
        <v>59</v>
      </c>
      <c r="E19" s="6"/>
      <c r="F19" s="19">
        <v>23.135000000000002</v>
      </c>
      <c r="G19" s="17">
        <f t="shared" si="1"/>
        <v>23.135000000000002</v>
      </c>
      <c r="H19" s="18">
        <v>3.54</v>
      </c>
      <c r="I19" s="18">
        <v>33.31</v>
      </c>
      <c r="J19" s="18">
        <v>165.39</v>
      </c>
      <c r="K19" s="19">
        <v>81.897900000000007</v>
      </c>
      <c r="L19" s="18">
        <v>770.6268500000001</v>
      </c>
      <c r="M19" s="20">
        <v>3826.29765</v>
      </c>
      <c r="N19" s="19">
        <v>72.181200000000004</v>
      </c>
      <c r="O19" s="18">
        <v>730.37195000000008</v>
      </c>
      <c r="P19" s="20">
        <v>1596.3150000000001</v>
      </c>
      <c r="Q19" s="19">
        <f t="shared" si="2"/>
        <v>72.181200000000004</v>
      </c>
      <c r="R19" s="18">
        <f t="shared" si="3"/>
        <v>730.37195000000008</v>
      </c>
      <c r="S19" s="20">
        <f t="shared" si="4"/>
        <v>1596.3150000000001</v>
      </c>
      <c r="T19" s="107">
        <f>(G20-G19)/G19</f>
        <v>-0.44642316835962831</v>
      </c>
      <c r="U19" s="108">
        <f>(N20-N19)/N19</f>
        <v>-0.44642316835962825</v>
      </c>
      <c r="V19" s="108">
        <f>(O20-O19)/O19</f>
        <v>-0.46693900279165984</v>
      </c>
      <c r="W19" s="109">
        <f>(P20-P19)/P19</f>
        <v>-0.47305903909942582</v>
      </c>
    </row>
    <row r="20" spans="1:23" x14ac:dyDescent="0.25">
      <c r="A20" s="110"/>
      <c r="B20" s="91">
        <v>100000000</v>
      </c>
      <c r="C20" s="91">
        <f t="shared" si="0"/>
        <v>1</v>
      </c>
      <c r="D20" s="110"/>
      <c r="E20" s="5" t="s">
        <v>66</v>
      </c>
      <c r="F20" s="19">
        <v>12.807</v>
      </c>
      <c r="G20" s="17">
        <f t="shared" si="1"/>
        <v>12.807</v>
      </c>
      <c r="H20" s="18">
        <v>3.54</v>
      </c>
      <c r="I20" s="18">
        <v>32.14</v>
      </c>
      <c r="J20" s="18">
        <v>162.07</v>
      </c>
      <c r="K20" s="19">
        <v>45.336780000000005</v>
      </c>
      <c r="L20" s="18">
        <v>411.61698000000001</v>
      </c>
      <c r="M20" s="20">
        <v>2075.63049</v>
      </c>
      <c r="N20" s="19">
        <v>39.957840000000004</v>
      </c>
      <c r="O20" s="18">
        <v>389.33280000000002</v>
      </c>
      <c r="P20" s="20">
        <v>841.16376000000014</v>
      </c>
      <c r="Q20" s="19">
        <f t="shared" si="2"/>
        <v>39.957840000000004</v>
      </c>
      <c r="R20" s="18">
        <f t="shared" si="3"/>
        <v>389.33280000000002</v>
      </c>
      <c r="S20" s="20">
        <f t="shared" si="4"/>
        <v>841.16376000000014</v>
      </c>
      <c r="T20" s="107"/>
      <c r="U20" s="108"/>
      <c r="V20" s="108"/>
      <c r="W20" s="109"/>
    </row>
    <row r="21" spans="1:23" x14ac:dyDescent="0.25">
      <c r="A21" s="110"/>
      <c r="B21" s="91">
        <v>100000000</v>
      </c>
      <c r="C21" s="91">
        <f t="shared" si="0"/>
        <v>1</v>
      </c>
      <c r="D21" s="110" t="s">
        <v>62</v>
      </c>
      <c r="E21" s="6"/>
      <c r="F21" s="19">
        <v>11.317</v>
      </c>
      <c r="G21" s="17">
        <f t="shared" si="1"/>
        <v>11.317</v>
      </c>
      <c r="H21" s="18">
        <v>3.59</v>
      </c>
      <c r="I21" s="18">
        <v>31.64</v>
      </c>
      <c r="J21" s="18">
        <v>160.58000000000001</v>
      </c>
      <c r="K21" s="19">
        <v>40.628030000000003</v>
      </c>
      <c r="L21" s="18">
        <v>358.06988000000001</v>
      </c>
      <c r="M21" s="20">
        <v>1817.2838600000002</v>
      </c>
      <c r="N21" s="19">
        <v>35.874890000000001</v>
      </c>
      <c r="O21" s="18">
        <v>338.37829999999997</v>
      </c>
      <c r="P21" s="20">
        <v>726.43822999999998</v>
      </c>
      <c r="Q21" s="19">
        <f t="shared" si="2"/>
        <v>35.874890000000001</v>
      </c>
      <c r="R21" s="18">
        <f t="shared" si="3"/>
        <v>338.37829999999997</v>
      </c>
      <c r="S21" s="20">
        <f t="shared" si="4"/>
        <v>726.43822999999998</v>
      </c>
      <c r="T21" s="107">
        <f>(G22-G21)/G21</f>
        <v>-0.58363523902094194</v>
      </c>
      <c r="U21" s="108">
        <f t="shared" ref="U21" si="5">(N22-N21)/N21</f>
        <v>-0.56918725046961816</v>
      </c>
      <c r="V21" s="108">
        <f>(O22-O21)/O21</f>
        <v>-0.64379228809885258</v>
      </c>
      <c r="W21" s="109">
        <f>(P22-P21)/P21</f>
        <v>-0.63909432464753402</v>
      </c>
    </row>
    <row r="22" spans="1:23" x14ac:dyDescent="0.25">
      <c r="A22" s="110"/>
      <c r="B22" s="91">
        <v>100000000</v>
      </c>
      <c r="C22" s="91">
        <f t="shared" si="0"/>
        <v>1</v>
      </c>
      <c r="D22" s="110"/>
      <c r="E22" s="5" t="s">
        <v>66</v>
      </c>
      <c r="F22" s="19">
        <v>4.7119999999999997</v>
      </c>
      <c r="G22" s="17">
        <f t="shared" si="1"/>
        <v>4.7119999999999997</v>
      </c>
      <c r="H22" s="18">
        <v>3.7</v>
      </c>
      <c r="I22" s="18">
        <v>27.32</v>
      </c>
      <c r="J22" s="18">
        <v>152.03</v>
      </c>
      <c r="K22" s="19">
        <v>17.4344</v>
      </c>
      <c r="L22" s="18">
        <v>128.73184000000001</v>
      </c>
      <c r="M22" s="20">
        <v>716.36536000000001</v>
      </c>
      <c r="N22" s="19">
        <v>15.455359999999999</v>
      </c>
      <c r="O22" s="18">
        <v>120.53295999999999</v>
      </c>
      <c r="P22" s="20">
        <v>262.17568</v>
      </c>
      <c r="Q22" s="19">
        <f t="shared" si="2"/>
        <v>15.455359999999999</v>
      </c>
      <c r="R22" s="18">
        <f t="shared" si="3"/>
        <v>120.53295999999999</v>
      </c>
      <c r="S22" s="20">
        <f t="shared" si="4"/>
        <v>262.17568</v>
      </c>
      <c r="T22" s="107"/>
      <c r="U22" s="108"/>
      <c r="V22" s="108"/>
      <c r="W22" s="109"/>
    </row>
    <row r="23" spans="1:23" x14ac:dyDescent="0.25">
      <c r="A23" s="110" t="s">
        <v>2</v>
      </c>
      <c r="B23" s="91">
        <v>100000000</v>
      </c>
      <c r="C23" s="91">
        <f t="shared" si="0"/>
        <v>1</v>
      </c>
      <c r="D23" s="110" t="s">
        <v>59</v>
      </c>
      <c r="E23" s="6"/>
      <c r="F23" s="19">
        <v>42.316000000000003</v>
      </c>
      <c r="G23" s="17">
        <f t="shared" si="1"/>
        <v>42.316000000000003</v>
      </c>
      <c r="H23" s="18">
        <v>8.26</v>
      </c>
      <c r="I23" s="18">
        <v>37.700000000000003</v>
      </c>
      <c r="J23" s="18">
        <v>163.63</v>
      </c>
      <c r="K23" s="19">
        <v>349.53016000000002</v>
      </c>
      <c r="L23" s="18">
        <v>1595.3132000000003</v>
      </c>
      <c r="M23" s="20">
        <v>6924.1670800000002</v>
      </c>
      <c r="N23" s="19">
        <v>218.77372</v>
      </c>
      <c r="O23" s="18">
        <v>1349.4572400000002</v>
      </c>
      <c r="P23" s="20">
        <v>2697.645</v>
      </c>
      <c r="Q23" s="19">
        <f t="shared" si="2"/>
        <v>218.77372</v>
      </c>
      <c r="R23" s="18">
        <f t="shared" si="3"/>
        <v>1349.4572400000002</v>
      </c>
      <c r="S23" s="20">
        <f t="shared" si="4"/>
        <v>2697.645</v>
      </c>
      <c r="T23" s="107">
        <f>(G24-G23)/G23</f>
        <v>-0.33838264486246339</v>
      </c>
      <c r="U23" s="108">
        <f>(N24-N23)/N23</f>
        <v>-0.35501905804773987</v>
      </c>
      <c r="V23" s="108">
        <f>(O24-O23)/O23</f>
        <v>-0.36950293437975112</v>
      </c>
      <c r="W23" s="109">
        <f>(P24-P23)/P23</f>
        <v>-0.40013359800863346</v>
      </c>
    </row>
    <row r="24" spans="1:23" x14ac:dyDescent="0.25">
      <c r="A24" s="110"/>
      <c r="B24" s="91">
        <v>100000000</v>
      </c>
      <c r="C24" s="91">
        <f t="shared" si="0"/>
        <v>1</v>
      </c>
      <c r="D24" s="110"/>
      <c r="E24" s="5" t="s">
        <v>66</v>
      </c>
      <c r="F24" s="19">
        <v>27.997</v>
      </c>
      <c r="G24" s="17">
        <f t="shared" si="1"/>
        <v>27.997</v>
      </c>
      <c r="H24" s="18">
        <v>8.1300000000000008</v>
      </c>
      <c r="I24" s="18">
        <v>36.200000000000003</v>
      </c>
      <c r="J24" s="18">
        <v>157.68</v>
      </c>
      <c r="K24" s="19">
        <v>227.61561000000003</v>
      </c>
      <c r="L24" s="18">
        <v>1013.4914000000001</v>
      </c>
      <c r="M24" s="20">
        <v>4414.5669600000001</v>
      </c>
      <c r="N24" s="19">
        <v>141.10488000000001</v>
      </c>
      <c r="O24" s="18">
        <v>850.82883000000004</v>
      </c>
      <c r="P24" s="20">
        <v>1618.2266</v>
      </c>
      <c r="Q24" s="19">
        <f t="shared" si="2"/>
        <v>141.10488000000001</v>
      </c>
      <c r="R24" s="18">
        <f t="shared" si="3"/>
        <v>850.82883000000004</v>
      </c>
      <c r="S24" s="20">
        <f t="shared" si="4"/>
        <v>1618.2266</v>
      </c>
      <c r="T24" s="107"/>
      <c r="U24" s="108"/>
      <c r="V24" s="108"/>
      <c r="W24" s="109"/>
    </row>
    <row r="25" spans="1:23" x14ac:dyDescent="0.25">
      <c r="A25" s="110"/>
      <c r="B25" s="91">
        <v>100000000</v>
      </c>
      <c r="C25" s="91">
        <f t="shared" si="0"/>
        <v>1</v>
      </c>
      <c r="D25" s="110" t="s">
        <v>62</v>
      </c>
      <c r="E25" s="6"/>
      <c r="F25" s="19">
        <v>28.315999999999999</v>
      </c>
      <c r="G25" s="17">
        <f t="shared" si="1"/>
        <v>28.315999999999999</v>
      </c>
      <c r="H25" s="18">
        <v>8.02</v>
      </c>
      <c r="I25" s="18">
        <v>37.21</v>
      </c>
      <c r="J25" s="18">
        <v>164.63</v>
      </c>
      <c r="K25" s="19">
        <v>227.09431999999998</v>
      </c>
      <c r="L25" s="18">
        <v>1053.6383599999999</v>
      </c>
      <c r="M25" s="20">
        <v>4661.6630799999994</v>
      </c>
      <c r="N25" s="19">
        <v>139.59787999999998</v>
      </c>
      <c r="O25" s="18">
        <v>889.12239999999997</v>
      </c>
      <c r="P25" s="20">
        <v>1833.461</v>
      </c>
      <c r="Q25" s="19">
        <f t="shared" si="2"/>
        <v>139.59787999999998</v>
      </c>
      <c r="R25" s="18">
        <f t="shared" si="3"/>
        <v>889.12239999999997</v>
      </c>
      <c r="S25" s="20">
        <f t="shared" si="4"/>
        <v>1833.461</v>
      </c>
      <c r="T25" s="107">
        <f>(G26-G25)/G25</f>
        <v>-0.10142675519141121</v>
      </c>
      <c r="U25" s="108">
        <f>(N26-N25)/N25</f>
        <v>-0.13605736706030186</v>
      </c>
      <c r="V25" s="108">
        <f>(O26-O25)/O25</f>
        <v>-0.13519479432753023</v>
      </c>
      <c r="W25" s="109">
        <f>(P26-P25)/P25</f>
        <v>-5.4520537933449478E-2</v>
      </c>
    </row>
    <row r="26" spans="1:23" x14ac:dyDescent="0.25">
      <c r="A26" s="110"/>
      <c r="B26" s="91">
        <v>100000000</v>
      </c>
      <c r="C26" s="91">
        <f t="shared" si="0"/>
        <v>1</v>
      </c>
      <c r="D26" s="110"/>
      <c r="E26" s="5" t="s">
        <v>66</v>
      </c>
      <c r="F26" s="19">
        <v>25.443999999999999</v>
      </c>
      <c r="G26" s="17">
        <f t="shared" si="1"/>
        <v>25.443999999999999</v>
      </c>
      <c r="H26" s="18">
        <v>7.83</v>
      </c>
      <c r="I26" s="18">
        <v>36.03</v>
      </c>
      <c r="J26" s="18">
        <v>168.01</v>
      </c>
      <c r="K26" s="19">
        <v>199.22651999999999</v>
      </c>
      <c r="L26" s="18">
        <v>916.74731999999995</v>
      </c>
      <c r="M26" s="20">
        <v>4274.8464399999993</v>
      </c>
      <c r="N26" s="19">
        <v>120.60456000000001</v>
      </c>
      <c r="O26" s="18">
        <v>768.9176799999999</v>
      </c>
      <c r="P26" s="20">
        <v>1733.4997199999998</v>
      </c>
      <c r="Q26" s="19">
        <f t="shared" si="2"/>
        <v>120.60456000000001</v>
      </c>
      <c r="R26" s="18">
        <f t="shared" si="3"/>
        <v>768.9176799999999</v>
      </c>
      <c r="S26" s="20">
        <f t="shared" si="4"/>
        <v>1733.4997199999998</v>
      </c>
      <c r="T26" s="107"/>
      <c r="U26" s="108"/>
      <c r="V26" s="108"/>
      <c r="W26" s="109"/>
    </row>
    <row r="27" spans="1:23" x14ac:dyDescent="0.25">
      <c r="A27" s="110" t="s">
        <v>3</v>
      </c>
      <c r="B27" s="91">
        <v>100000000</v>
      </c>
      <c r="C27" s="91">
        <f t="shared" si="0"/>
        <v>1</v>
      </c>
      <c r="D27" s="110" t="s">
        <v>59</v>
      </c>
      <c r="E27" s="6"/>
      <c r="F27" s="19">
        <v>9.58</v>
      </c>
      <c r="G27" s="17">
        <f t="shared" si="1"/>
        <v>9.58</v>
      </c>
      <c r="H27" s="18">
        <v>9.41</v>
      </c>
      <c r="I27" s="18">
        <v>36.26</v>
      </c>
      <c r="J27" s="18">
        <v>156.63999999999999</v>
      </c>
      <c r="K27" s="19">
        <v>90.147800000000004</v>
      </c>
      <c r="L27" s="18">
        <v>347.37079999999997</v>
      </c>
      <c r="M27" s="20">
        <v>1500.6111999999998</v>
      </c>
      <c r="N27" s="19">
        <v>39.757000000000005</v>
      </c>
      <c r="O27" s="18">
        <v>258.27680000000004</v>
      </c>
      <c r="P27" s="20">
        <v>549.22140000000002</v>
      </c>
      <c r="Q27" s="19">
        <f t="shared" si="2"/>
        <v>39.757000000000005</v>
      </c>
      <c r="R27" s="18">
        <f t="shared" si="3"/>
        <v>258.27680000000004</v>
      </c>
      <c r="S27" s="20">
        <f t="shared" si="4"/>
        <v>549.22140000000002</v>
      </c>
      <c r="T27" s="107">
        <f>(G28-G27)/G27</f>
        <v>-0.46638830897703548</v>
      </c>
      <c r="U27" s="108">
        <f>(N28-N27)/N27</f>
        <v>-0.4316714037779511</v>
      </c>
      <c r="V27" s="108">
        <f>(O28-O27)/O27</f>
        <v>-0.48400382845071643</v>
      </c>
      <c r="W27" s="109">
        <f>(P28-P27)/P27</f>
        <v>-0.47122832431511219</v>
      </c>
    </row>
    <row r="28" spans="1:23" x14ac:dyDescent="0.25">
      <c r="A28" s="110"/>
      <c r="B28" s="91">
        <v>100000000</v>
      </c>
      <c r="C28" s="91">
        <f t="shared" si="0"/>
        <v>1</v>
      </c>
      <c r="D28" s="110"/>
      <c r="E28" s="5" t="s">
        <v>66</v>
      </c>
      <c r="F28" s="19">
        <v>5.1120000000000001</v>
      </c>
      <c r="G28" s="17">
        <f t="shared" si="1"/>
        <v>5.1120000000000001</v>
      </c>
      <c r="H28" s="18">
        <v>9.68</v>
      </c>
      <c r="I28" s="18">
        <v>35.369999999999997</v>
      </c>
      <c r="J28" s="18">
        <v>156.13</v>
      </c>
      <c r="K28" s="19">
        <v>49.484160000000003</v>
      </c>
      <c r="L28" s="18">
        <v>180.81144</v>
      </c>
      <c r="M28" s="20">
        <v>798.13656000000003</v>
      </c>
      <c r="N28" s="19">
        <v>22.595040000000001</v>
      </c>
      <c r="O28" s="18">
        <v>133.26984000000002</v>
      </c>
      <c r="P28" s="20">
        <v>290.41272000000004</v>
      </c>
      <c r="Q28" s="19">
        <f t="shared" si="2"/>
        <v>22.595040000000001</v>
      </c>
      <c r="R28" s="18">
        <f t="shared" si="3"/>
        <v>133.26984000000002</v>
      </c>
      <c r="S28" s="20">
        <f t="shared" si="4"/>
        <v>290.41272000000004</v>
      </c>
      <c r="T28" s="107"/>
      <c r="U28" s="108"/>
      <c r="V28" s="108"/>
      <c r="W28" s="109"/>
    </row>
    <row r="29" spans="1:23" x14ac:dyDescent="0.25">
      <c r="A29" s="110"/>
      <c r="B29" s="91">
        <v>100000000</v>
      </c>
      <c r="C29" s="91">
        <f t="shared" si="0"/>
        <v>1</v>
      </c>
      <c r="D29" s="110" t="s">
        <v>62</v>
      </c>
      <c r="E29" s="6"/>
      <c r="F29" s="19">
        <v>7.673</v>
      </c>
      <c r="G29" s="17">
        <f t="shared" si="1"/>
        <v>7.673</v>
      </c>
      <c r="H29" s="18">
        <v>9.5299999999999994</v>
      </c>
      <c r="I29" s="18">
        <v>35.79</v>
      </c>
      <c r="J29" s="18">
        <v>156.84</v>
      </c>
      <c r="K29" s="19">
        <v>73.123689999999996</v>
      </c>
      <c r="L29" s="18">
        <v>274.61667</v>
      </c>
      <c r="M29" s="20">
        <v>1203.4333200000001</v>
      </c>
      <c r="N29" s="19">
        <v>32.763709999999996</v>
      </c>
      <c r="O29" s="18">
        <v>203.25776999999999</v>
      </c>
      <c r="P29" s="20">
        <v>441.42768999999998</v>
      </c>
      <c r="Q29" s="19">
        <f t="shared" si="2"/>
        <v>32.763709999999996</v>
      </c>
      <c r="R29" s="18">
        <f t="shared" si="3"/>
        <v>203.25776999999999</v>
      </c>
      <c r="S29" s="20">
        <f t="shared" si="4"/>
        <v>441.42768999999998</v>
      </c>
      <c r="T29" s="107">
        <f>(G30-G29)/G29</f>
        <v>-0.44063599635084066</v>
      </c>
      <c r="U29" s="108">
        <f>(N30-N29)/N29</f>
        <v>-0.44718592613595953</v>
      </c>
      <c r="V29" s="108">
        <f>(O30-O29)/O29</f>
        <v>-0.47294354356047491</v>
      </c>
      <c r="W29" s="109">
        <f>(P30-P29)/P29</f>
        <v>-0.43577449797043766</v>
      </c>
    </row>
    <row r="30" spans="1:23" x14ac:dyDescent="0.25">
      <c r="A30" s="110"/>
      <c r="B30" s="91">
        <v>100000000</v>
      </c>
      <c r="C30" s="91">
        <f t="shared" si="0"/>
        <v>1</v>
      </c>
      <c r="D30" s="110"/>
      <c r="E30" s="5" t="s">
        <v>66</v>
      </c>
      <c r="F30" s="19">
        <v>4.2919999999999998</v>
      </c>
      <c r="G30" s="17">
        <f t="shared" si="1"/>
        <v>4.2919999999999998</v>
      </c>
      <c r="H30" s="18">
        <v>9.48</v>
      </c>
      <c r="I30" s="18">
        <v>34.26</v>
      </c>
      <c r="J30" s="18">
        <v>157.34</v>
      </c>
      <c r="K30" s="19">
        <v>40.688160000000003</v>
      </c>
      <c r="L30" s="18">
        <v>147.04391999999999</v>
      </c>
      <c r="M30" s="20">
        <v>675.30327999999997</v>
      </c>
      <c r="N30" s="19">
        <v>18.11224</v>
      </c>
      <c r="O30" s="18">
        <v>107.12832</v>
      </c>
      <c r="P30" s="20">
        <v>249.06476000000001</v>
      </c>
      <c r="Q30" s="19">
        <f t="shared" si="2"/>
        <v>18.11224</v>
      </c>
      <c r="R30" s="18">
        <f t="shared" si="3"/>
        <v>107.12832</v>
      </c>
      <c r="S30" s="20">
        <f t="shared" si="4"/>
        <v>249.06476000000001</v>
      </c>
      <c r="T30" s="107"/>
      <c r="U30" s="108"/>
      <c r="V30" s="108"/>
      <c r="W30" s="109"/>
    </row>
    <row r="31" spans="1:23" x14ac:dyDescent="0.25">
      <c r="A31" s="110" t="s">
        <v>4</v>
      </c>
      <c r="B31" s="91">
        <v>100000000</v>
      </c>
      <c r="C31" s="91">
        <f t="shared" si="0"/>
        <v>1</v>
      </c>
      <c r="D31" s="110" t="s">
        <v>59</v>
      </c>
      <c r="E31" s="6"/>
      <c r="F31" s="19">
        <v>252.87</v>
      </c>
      <c r="G31" s="17">
        <f t="shared" si="1"/>
        <v>252.87</v>
      </c>
      <c r="H31" s="18">
        <v>4.88</v>
      </c>
      <c r="I31" s="18">
        <v>32.86</v>
      </c>
      <c r="J31" s="18">
        <v>155.62</v>
      </c>
      <c r="K31" s="19">
        <v>1234.0056</v>
      </c>
      <c r="L31" s="18">
        <v>8309.3081999999995</v>
      </c>
      <c r="M31" s="20">
        <v>39351.629400000005</v>
      </c>
      <c r="N31" s="19">
        <v>872.40150000000006</v>
      </c>
      <c r="O31" s="18">
        <v>7426.7919000000002</v>
      </c>
      <c r="P31" s="20">
        <v>14345.3151</v>
      </c>
      <c r="Q31" s="19">
        <f t="shared" si="2"/>
        <v>872.40150000000006</v>
      </c>
      <c r="R31" s="18">
        <f t="shared" si="3"/>
        <v>7426.7919000000002</v>
      </c>
      <c r="S31" s="20">
        <f t="shared" si="4"/>
        <v>14345.3151</v>
      </c>
      <c r="T31" s="107">
        <f>(G32-G31)/G31</f>
        <v>-9.9327717799659973E-2</v>
      </c>
      <c r="U31" s="108">
        <f>(N32-N31)/N31</f>
        <v>-9.6717073503427176E-2</v>
      </c>
      <c r="V31" s="108">
        <f>(O32-O31)/O31</f>
        <v>-8.5834500088793536E-2</v>
      </c>
      <c r="W31" s="109">
        <f>(P32-P31)/P31</f>
        <v>-8.4403833694806779E-2</v>
      </c>
    </row>
    <row r="32" spans="1:23" x14ac:dyDescent="0.25">
      <c r="A32" s="110"/>
      <c r="B32" s="91">
        <v>100000000</v>
      </c>
      <c r="C32" s="91">
        <f t="shared" si="0"/>
        <v>1</v>
      </c>
      <c r="D32" s="110"/>
      <c r="E32" s="5" t="s">
        <v>66</v>
      </c>
      <c r="F32" s="19">
        <v>227.75299999999999</v>
      </c>
      <c r="G32" s="17">
        <f t="shared" si="1"/>
        <v>227.75299999999999</v>
      </c>
      <c r="H32" s="18">
        <v>4.8899999999999997</v>
      </c>
      <c r="I32" s="18">
        <v>33.299999999999997</v>
      </c>
      <c r="J32" s="18">
        <v>156.56</v>
      </c>
      <c r="K32" s="19">
        <v>1113.7121699999998</v>
      </c>
      <c r="L32" s="18">
        <v>7584.1748999999991</v>
      </c>
      <c r="M32" s="20">
        <v>35657.009679999996</v>
      </c>
      <c r="N32" s="19">
        <v>788.02537999999993</v>
      </c>
      <c r="O32" s="18">
        <v>6789.316929999999</v>
      </c>
      <c r="P32" s="20">
        <v>13134.515509999999</v>
      </c>
      <c r="Q32" s="19">
        <f t="shared" si="2"/>
        <v>788.02537999999993</v>
      </c>
      <c r="R32" s="18">
        <f t="shared" si="3"/>
        <v>6789.316929999999</v>
      </c>
      <c r="S32" s="20">
        <f t="shared" si="4"/>
        <v>13134.515509999999</v>
      </c>
      <c r="T32" s="107"/>
      <c r="U32" s="108"/>
      <c r="V32" s="108"/>
      <c r="W32" s="109"/>
    </row>
    <row r="33" spans="1:23" x14ac:dyDescent="0.25">
      <c r="A33" s="110"/>
      <c r="B33" s="91">
        <v>100000000</v>
      </c>
      <c r="C33" s="91">
        <f t="shared" si="0"/>
        <v>1</v>
      </c>
      <c r="D33" s="110" t="s">
        <v>62</v>
      </c>
      <c r="E33" s="6"/>
      <c r="F33" s="19">
        <v>227.607</v>
      </c>
      <c r="G33" s="17">
        <f t="shared" si="1"/>
        <v>227.607</v>
      </c>
      <c r="H33" s="18">
        <v>4.87</v>
      </c>
      <c r="I33" s="18">
        <v>33.33</v>
      </c>
      <c r="J33" s="18">
        <v>157.75</v>
      </c>
      <c r="K33" s="19">
        <v>1108.4460899999999</v>
      </c>
      <c r="L33" s="18">
        <v>7586.14131</v>
      </c>
      <c r="M33" s="20">
        <v>35905.004249999998</v>
      </c>
      <c r="N33" s="19">
        <v>782.96807999999999</v>
      </c>
      <c r="O33" s="18">
        <v>6791.79288</v>
      </c>
      <c r="P33" s="20">
        <v>13396.94802</v>
      </c>
      <c r="Q33" s="19">
        <f t="shared" si="2"/>
        <v>782.96807999999999</v>
      </c>
      <c r="R33" s="18">
        <f t="shared" si="3"/>
        <v>6791.79288</v>
      </c>
      <c r="S33" s="20">
        <f t="shared" si="4"/>
        <v>13396.94802</v>
      </c>
      <c r="T33" s="107">
        <f>(G34-G33)/G33</f>
        <v>-2.2407043720096081E-3</v>
      </c>
      <c r="U33" s="108">
        <f>(N34-N33)/N33</f>
        <v>6.5975869667651745E-4</v>
      </c>
      <c r="V33" s="108">
        <f>(O34-O33)/O33</f>
        <v>-9.0322542344660126E-4</v>
      </c>
      <c r="W33" s="109">
        <f>(P34-P33)/P33</f>
        <v>-1.597133688065171E-2</v>
      </c>
    </row>
    <row r="34" spans="1:23" x14ac:dyDescent="0.25">
      <c r="A34" s="110"/>
      <c r="B34" s="91">
        <v>100000000</v>
      </c>
      <c r="C34" s="91">
        <f t="shared" si="0"/>
        <v>1</v>
      </c>
      <c r="D34" s="110"/>
      <c r="E34" s="5" t="s">
        <v>66</v>
      </c>
      <c r="F34" s="19">
        <v>227.09700000000001</v>
      </c>
      <c r="G34" s="17">
        <f t="shared" si="1"/>
        <v>227.09700000000001</v>
      </c>
      <c r="H34" s="18">
        <v>4.88</v>
      </c>
      <c r="I34" s="18">
        <v>33.369999999999997</v>
      </c>
      <c r="J34" s="18">
        <v>156.94</v>
      </c>
      <c r="K34" s="19">
        <v>1108.2333599999999</v>
      </c>
      <c r="L34" s="18">
        <v>7578.2268899999999</v>
      </c>
      <c r="M34" s="20">
        <v>35640.603179999998</v>
      </c>
      <c r="N34" s="19">
        <v>783.4846500000001</v>
      </c>
      <c r="O34" s="18">
        <v>6785.6583600000004</v>
      </c>
      <c r="P34" s="20">
        <v>13182.98085</v>
      </c>
      <c r="Q34" s="19">
        <f t="shared" si="2"/>
        <v>783.4846500000001</v>
      </c>
      <c r="R34" s="18">
        <f t="shared" si="3"/>
        <v>6785.6583600000004</v>
      </c>
      <c r="S34" s="20">
        <f t="shared" si="4"/>
        <v>13182.98085</v>
      </c>
      <c r="T34" s="107"/>
      <c r="U34" s="108"/>
      <c r="V34" s="108"/>
      <c r="W34" s="109"/>
    </row>
    <row r="35" spans="1:23" x14ac:dyDescent="0.25">
      <c r="A35" s="110" t="s">
        <v>7</v>
      </c>
      <c r="B35" s="91">
        <v>100000000</v>
      </c>
      <c r="C35" s="91">
        <f t="shared" si="0"/>
        <v>1</v>
      </c>
      <c r="D35" s="110" t="s">
        <v>59</v>
      </c>
      <c r="E35" s="6"/>
      <c r="F35" s="19">
        <v>8.2349999999999994</v>
      </c>
      <c r="G35" s="17">
        <f t="shared" si="1"/>
        <v>8.2349999999999994</v>
      </c>
      <c r="H35" s="18">
        <v>6.83</v>
      </c>
      <c r="I35" s="18">
        <v>33.17</v>
      </c>
      <c r="J35" s="18">
        <v>160.97</v>
      </c>
      <c r="K35" s="19">
        <v>56.245049999999999</v>
      </c>
      <c r="L35" s="18">
        <v>273.15494999999999</v>
      </c>
      <c r="M35" s="20">
        <v>1325.5879499999999</v>
      </c>
      <c r="N35" s="19">
        <v>33.516449999999999</v>
      </c>
      <c r="O35" s="18">
        <v>234.86219999999997</v>
      </c>
      <c r="P35" s="20">
        <v>494.34704999999997</v>
      </c>
      <c r="Q35" s="19">
        <f t="shared" si="2"/>
        <v>33.516449999999999</v>
      </c>
      <c r="R35" s="18">
        <f t="shared" si="3"/>
        <v>234.86219999999997</v>
      </c>
      <c r="S35" s="20">
        <f t="shared" si="4"/>
        <v>494.34704999999997</v>
      </c>
      <c r="T35" s="107">
        <f>(G36-G35)/G35</f>
        <v>-0.47455980570734668</v>
      </c>
      <c r="U35" s="108">
        <f>(N36-N35)/N35</f>
        <v>-0.47068678216219206</v>
      </c>
      <c r="V35" s="108">
        <f>(O36-O35)/O35</f>
        <v>-0.50366904508260579</v>
      </c>
      <c r="W35" s="109">
        <f>(P36-P35)/P35</f>
        <v>-0.48497582821622981</v>
      </c>
    </row>
    <row r="36" spans="1:23" x14ac:dyDescent="0.25">
      <c r="A36" s="110"/>
      <c r="B36" s="91">
        <v>100000000</v>
      </c>
      <c r="C36" s="91">
        <f t="shared" si="0"/>
        <v>1</v>
      </c>
      <c r="D36" s="110"/>
      <c r="E36" s="5" t="s">
        <v>66</v>
      </c>
      <c r="F36" s="19">
        <v>4.327</v>
      </c>
      <c r="G36" s="17">
        <f t="shared" si="1"/>
        <v>4.327</v>
      </c>
      <c r="H36" s="18">
        <v>6.86</v>
      </c>
      <c r="I36" s="18">
        <v>31.59</v>
      </c>
      <c r="J36" s="18">
        <v>159.78</v>
      </c>
      <c r="K36" s="19">
        <v>29.683220000000002</v>
      </c>
      <c r="L36" s="18">
        <v>136.68993</v>
      </c>
      <c r="M36" s="20">
        <v>691.36806000000001</v>
      </c>
      <c r="N36" s="19">
        <v>17.740699999999997</v>
      </c>
      <c r="O36" s="18">
        <v>116.56938000000001</v>
      </c>
      <c r="P36" s="20">
        <v>254.60068000000001</v>
      </c>
      <c r="Q36" s="19">
        <f t="shared" si="2"/>
        <v>17.740699999999997</v>
      </c>
      <c r="R36" s="18">
        <f t="shared" si="3"/>
        <v>116.56938000000001</v>
      </c>
      <c r="S36" s="20">
        <f t="shared" si="4"/>
        <v>254.60068000000001</v>
      </c>
      <c r="T36" s="107"/>
      <c r="U36" s="108"/>
      <c r="V36" s="108"/>
      <c r="W36" s="109"/>
    </row>
    <row r="37" spans="1:23" x14ac:dyDescent="0.25">
      <c r="A37" s="110"/>
      <c r="B37" s="91">
        <v>100000000</v>
      </c>
      <c r="C37" s="91">
        <f t="shared" si="0"/>
        <v>1</v>
      </c>
      <c r="D37" s="110" t="s">
        <v>62</v>
      </c>
      <c r="E37" s="6"/>
      <c r="F37" s="19">
        <v>7.5609999999999999</v>
      </c>
      <c r="G37" s="17">
        <f t="shared" si="1"/>
        <v>7.5609999999999999</v>
      </c>
      <c r="H37" s="18">
        <v>6.83</v>
      </c>
      <c r="I37" s="18">
        <v>32.380000000000003</v>
      </c>
      <c r="J37" s="18">
        <v>158.38999999999999</v>
      </c>
      <c r="K37" s="19">
        <v>51.641629999999999</v>
      </c>
      <c r="L37" s="18">
        <v>244.82518000000002</v>
      </c>
      <c r="M37" s="20">
        <v>1197.5867899999998</v>
      </c>
      <c r="N37" s="19">
        <v>30.773270000000004</v>
      </c>
      <c r="O37" s="18">
        <v>209.66652999999999</v>
      </c>
      <c r="P37" s="20">
        <v>434.30383999999998</v>
      </c>
      <c r="Q37" s="19">
        <f t="shared" si="2"/>
        <v>30.773270000000004</v>
      </c>
      <c r="R37" s="18">
        <f t="shared" si="3"/>
        <v>209.66652999999999</v>
      </c>
      <c r="S37" s="20">
        <f t="shared" si="4"/>
        <v>434.30383999999998</v>
      </c>
      <c r="T37" s="107">
        <f>(G38-G37)/G37</f>
        <v>-0.44174051051448221</v>
      </c>
      <c r="U37" s="108">
        <f>(N38-N37)/N37</f>
        <v>-0.42939570607868455</v>
      </c>
      <c r="V37" s="108">
        <f>(O38-O37)/O37</f>
        <v>-0.46227511849411534</v>
      </c>
      <c r="W37" s="109">
        <f>(P38-P37)/P37</f>
        <v>-0.44562811141619191</v>
      </c>
    </row>
    <row r="38" spans="1:23" x14ac:dyDescent="0.25">
      <c r="A38" s="110"/>
      <c r="B38" s="91">
        <v>100000000</v>
      </c>
      <c r="C38" s="91">
        <f t="shared" si="0"/>
        <v>1</v>
      </c>
      <c r="D38" s="110"/>
      <c r="E38" s="5" t="s">
        <v>66</v>
      </c>
      <c r="F38" s="19">
        <v>4.2210000000000001</v>
      </c>
      <c r="G38" s="17">
        <f t="shared" si="1"/>
        <v>4.2210000000000001</v>
      </c>
      <c r="H38" s="18">
        <v>6.92</v>
      </c>
      <c r="I38" s="18">
        <v>31.36</v>
      </c>
      <c r="J38" s="18">
        <v>157.97999999999999</v>
      </c>
      <c r="K38" s="19">
        <v>29.209320000000002</v>
      </c>
      <c r="L38" s="18">
        <v>132.37056000000001</v>
      </c>
      <c r="M38" s="20">
        <v>666.83357999999998</v>
      </c>
      <c r="N38" s="19">
        <v>17.559360000000002</v>
      </c>
      <c r="O38" s="18">
        <v>112.74291000000001</v>
      </c>
      <c r="P38" s="20">
        <v>240.76584</v>
      </c>
      <c r="Q38" s="19">
        <f t="shared" si="2"/>
        <v>17.559360000000002</v>
      </c>
      <c r="R38" s="18">
        <f t="shared" si="3"/>
        <v>112.74291000000001</v>
      </c>
      <c r="S38" s="20">
        <f t="shared" si="4"/>
        <v>240.76584</v>
      </c>
      <c r="T38" s="107"/>
      <c r="U38" s="108"/>
      <c r="V38" s="108"/>
      <c r="W38" s="109"/>
    </row>
    <row r="39" spans="1:23" x14ac:dyDescent="0.25">
      <c r="A39" s="110" t="s">
        <v>8</v>
      </c>
      <c r="B39" s="91">
        <v>100000000</v>
      </c>
      <c r="C39" s="91">
        <f t="shared" si="0"/>
        <v>1</v>
      </c>
      <c r="D39" s="110" t="s">
        <v>59</v>
      </c>
      <c r="E39" s="6"/>
      <c r="F39" s="19">
        <v>7.6769999999999996</v>
      </c>
      <c r="G39" s="17">
        <f t="shared" si="1"/>
        <v>7.6769999999999996</v>
      </c>
      <c r="H39" s="18">
        <v>9.08</v>
      </c>
      <c r="I39" s="18">
        <v>35.44</v>
      </c>
      <c r="J39" s="18">
        <v>159.31</v>
      </c>
      <c r="K39" s="19">
        <v>69.707160000000002</v>
      </c>
      <c r="L39" s="18">
        <v>272.07287999999994</v>
      </c>
      <c r="M39" s="20">
        <v>1223.02287</v>
      </c>
      <c r="N39" s="19">
        <v>33.164639999999999</v>
      </c>
      <c r="O39" s="18">
        <v>209.65886999999998</v>
      </c>
      <c r="P39" s="20">
        <v>439.66179</v>
      </c>
      <c r="Q39" s="19">
        <f t="shared" si="2"/>
        <v>33.164639999999999</v>
      </c>
      <c r="R39" s="18">
        <f t="shared" si="3"/>
        <v>209.65886999999998</v>
      </c>
      <c r="S39" s="20">
        <f t="shared" si="4"/>
        <v>439.66179</v>
      </c>
      <c r="T39" s="107">
        <f>(G40-G39)/G39</f>
        <v>-0.45239025661065518</v>
      </c>
      <c r="U39" s="108">
        <f>(N40-N39)/N39</f>
        <v>-0.45239025661065513</v>
      </c>
      <c r="V39" s="108">
        <f>(O40-O39)/O39</f>
        <v>-0.47424652245812449</v>
      </c>
      <c r="W39" s="109">
        <f>(P40-P39)/P39</f>
        <v>-0.46233462771463502</v>
      </c>
    </row>
    <row r="40" spans="1:23" x14ac:dyDescent="0.25">
      <c r="A40" s="110"/>
      <c r="B40" s="91">
        <v>100000000</v>
      </c>
      <c r="C40" s="91">
        <f t="shared" si="0"/>
        <v>1</v>
      </c>
      <c r="D40" s="110"/>
      <c r="E40" s="5" t="s">
        <v>66</v>
      </c>
      <c r="F40" s="19">
        <v>4.2039999999999997</v>
      </c>
      <c r="G40" s="17">
        <f t="shared" si="1"/>
        <v>4.2039999999999997</v>
      </c>
      <c r="H40" s="18">
        <v>9.08</v>
      </c>
      <c r="I40" s="18">
        <v>34.35</v>
      </c>
      <c r="J40" s="18">
        <v>158.27000000000001</v>
      </c>
      <c r="K40" s="19">
        <v>38.172319999999999</v>
      </c>
      <c r="L40" s="18">
        <v>144.4074</v>
      </c>
      <c r="M40" s="20">
        <v>665.36707999999999</v>
      </c>
      <c r="N40" s="19">
        <v>18.161280000000001</v>
      </c>
      <c r="O40" s="18">
        <v>110.22887999999999</v>
      </c>
      <c r="P40" s="20">
        <v>236.39091999999997</v>
      </c>
      <c r="Q40" s="19">
        <f t="shared" si="2"/>
        <v>18.161280000000001</v>
      </c>
      <c r="R40" s="18">
        <f t="shared" si="3"/>
        <v>110.22887999999999</v>
      </c>
      <c r="S40" s="20">
        <f t="shared" si="4"/>
        <v>236.39091999999997</v>
      </c>
      <c r="T40" s="107"/>
      <c r="U40" s="108"/>
      <c r="V40" s="108"/>
      <c r="W40" s="109"/>
    </row>
    <row r="41" spans="1:23" x14ac:dyDescent="0.25">
      <c r="A41" s="110"/>
      <c r="B41" s="91">
        <v>100000000</v>
      </c>
      <c r="C41" s="91">
        <f t="shared" si="0"/>
        <v>1</v>
      </c>
      <c r="D41" s="110" t="s">
        <v>62</v>
      </c>
      <c r="E41" s="6"/>
      <c r="F41" s="19">
        <v>8.1910000000000007</v>
      </c>
      <c r="G41" s="17">
        <f t="shared" si="1"/>
        <v>8.1910000000000007</v>
      </c>
      <c r="H41" s="18">
        <v>8.92</v>
      </c>
      <c r="I41" s="18">
        <v>36.03</v>
      </c>
      <c r="J41" s="18">
        <v>159.09</v>
      </c>
      <c r="K41" s="19">
        <v>73.063720000000004</v>
      </c>
      <c r="L41" s="18">
        <v>295.12173000000001</v>
      </c>
      <c r="M41" s="20">
        <v>1303.1061900000002</v>
      </c>
      <c r="N41" s="19">
        <v>34.074560000000005</v>
      </c>
      <c r="O41" s="18">
        <v>228.52890000000002</v>
      </c>
      <c r="P41" s="20">
        <v>467.29655000000002</v>
      </c>
      <c r="Q41" s="19">
        <f t="shared" si="2"/>
        <v>34.074560000000005</v>
      </c>
      <c r="R41" s="18">
        <f t="shared" si="3"/>
        <v>228.52890000000002</v>
      </c>
      <c r="S41" s="20">
        <f t="shared" si="4"/>
        <v>467.29655000000002</v>
      </c>
      <c r="T41" s="107">
        <f>(G42-G41)/G41</f>
        <v>-0.38408008790135523</v>
      </c>
      <c r="U41" s="108">
        <f>(N42-N41)/N41</f>
        <v>-0.39444412488378439</v>
      </c>
      <c r="V41" s="108">
        <f>(O42-O41)/O41</f>
        <v>-0.40990898744097581</v>
      </c>
      <c r="W41" s="109">
        <f>(P42-P41)/P41</f>
        <v>-0.38148901377508565</v>
      </c>
    </row>
    <row r="42" spans="1:23" x14ac:dyDescent="0.25">
      <c r="A42" s="110"/>
      <c r="B42" s="91">
        <v>100000000</v>
      </c>
      <c r="C42" s="91">
        <f t="shared" si="0"/>
        <v>1</v>
      </c>
      <c r="D42" s="110"/>
      <c r="E42" s="5" t="s">
        <v>66</v>
      </c>
      <c r="F42" s="19">
        <v>5.0449999999999999</v>
      </c>
      <c r="G42" s="17">
        <f t="shared" si="1"/>
        <v>5.0449999999999999</v>
      </c>
      <c r="H42" s="18">
        <v>8.85</v>
      </c>
      <c r="I42" s="18">
        <v>34.86</v>
      </c>
      <c r="J42" s="18">
        <v>159.33000000000001</v>
      </c>
      <c r="K42" s="19">
        <v>44.648249999999997</v>
      </c>
      <c r="L42" s="18">
        <v>175.86869999999999</v>
      </c>
      <c r="M42" s="20">
        <v>803.81985000000009</v>
      </c>
      <c r="N42" s="19">
        <v>20.634049999999998</v>
      </c>
      <c r="O42" s="18">
        <v>134.85284999999999</v>
      </c>
      <c r="P42" s="20">
        <v>289.02805000000001</v>
      </c>
      <c r="Q42" s="19">
        <f t="shared" si="2"/>
        <v>20.634049999999998</v>
      </c>
      <c r="R42" s="18">
        <f t="shared" si="3"/>
        <v>134.85284999999999</v>
      </c>
      <c r="S42" s="20">
        <f t="shared" si="4"/>
        <v>289.02805000000001</v>
      </c>
      <c r="T42" s="107"/>
      <c r="U42" s="108"/>
      <c r="V42" s="108"/>
      <c r="W42" s="109"/>
    </row>
    <row r="43" spans="1:23" x14ac:dyDescent="0.25">
      <c r="A43" s="110" t="s">
        <v>10</v>
      </c>
      <c r="B43" s="91">
        <v>100000000</v>
      </c>
      <c r="C43" s="91">
        <f t="shared" si="0"/>
        <v>1</v>
      </c>
      <c r="D43" s="110" t="s">
        <v>59</v>
      </c>
      <c r="E43" s="6"/>
      <c r="F43" s="19">
        <v>130.40700000000001</v>
      </c>
      <c r="G43" s="17">
        <f t="shared" si="1"/>
        <v>130.40700000000001</v>
      </c>
      <c r="H43" s="18">
        <v>2.8</v>
      </c>
      <c r="I43" s="18">
        <v>22.39</v>
      </c>
      <c r="J43" s="18">
        <v>171.05</v>
      </c>
      <c r="K43" s="19">
        <v>365.13960000000003</v>
      </c>
      <c r="L43" s="18">
        <v>2919.8127300000001</v>
      </c>
      <c r="M43" s="20">
        <v>22306.117350000004</v>
      </c>
      <c r="N43" s="19">
        <v>310.36866000000003</v>
      </c>
      <c r="O43" s="18">
        <v>2844.1766700000003</v>
      </c>
      <c r="P43" s="20">
        <v>8087.8421400000007</v>
      </c>
      <c r="Q43" s="19">
        <f t="shared" si="2"/>
        <v>310.36866000000003</v>
      </c>
      <c r="R43" s="18">
        <f t="shared" si="3"/>
        <v>2844.1766700000003</v>
      </c>
      <c r="S43" s="20">
        <f t="shared" si="4"/>
        <v>8087.8421400000007</v>
      </c>
      <c r="T43" s="107">
        <f>(G44-G43)/G43</f>
        <v>-3.6171371168725701E-2</v>
      </c>
      <c r="U43" s="108">
        <f>(N44-N43)/N43</f>
        <v>-3.2121671047585801E-2</v>
      </c>
      <c r="V43" s="108">
        <f>(O44-O43)/O43</f>
        <v>-1.0539981681236583E-2</v>
      </c>
      <c r="W43" s="109">
        <f>(P44-P43)/P43</f>
        <v>-2.2961852714894957E-2</v>
      </c>
    </row>
    <row r="44" spans="1:23" x14ac:dyDescent="0.25">
      <c r="A44" s="110"/>
      <c r="B44" s="91">
        <v>100000000</v>
      </c>
      <c r="C44" s="91">
        <f t="shared" si="0"/>
        <v>1</v>
      </c>
      <c r="D44" s="110"/>
      <c r="E44" s="5" t="s">
        <v>66</v>
      </c>
      <c r="F44" s="19">
        <v>125.69</v>
      </c>
      <c r="G44" s="17">
        <f t="shared" si="1"/>
        <v>125.69</v>
      </c>
      <c r="H44" s="18">
        <v>2.81</v>
      </c>
      <c r="I44" s="18">
        <v>22.97</v>
      </c>
      <c r="J44" s="18">
        <v>171.9</v>
      </c>
      <c r="K44" s="19">
        <v>353.18889999999999</v>
      </c>
      <c r="L44" s="18">
        <v>2887.0992999999999</v>
      </c>
      <c r="M44" s="20">
        <v>21606.111000000001</v>
      </c>
      <c r="N44" s="19">
        <v>300.39910000000003</v>
      </c>
      <c r="O44" s="18">
        <v>2814.1990999999998</v>
      </c>
      <c r="P44" s="20">
        <v>7902.1302999999998</v>
      </c>
      <c r="Q44" s="19">
        <f t="shared" si="2"/>
        <v>300.39910000000003</v>
      </c>
      <c r="R44" s="18">
        <f t="shared" si="3"/>
        <v>2814.1990999999998</v>
      </c>
      <c r="S44" s="20">
        <f t="shared" si="4"/>
        <v>7902.1302999999998</v>
      </c>
      <c r="T44" s="107"/>
      <c r="U44" s="108"/>
      <c r="V44" s="108"/>
      <c r="W44" s="109"/>
    </row>
    <row r="45" spans="1:23" x14ac:dyDescent="0.25">
      <c r="A45" s="110"/>
      <c r="B45" s="91">
        <v>100000000</v>
      </c>
      <c r="C45" s="91">
        <f t="shared" si="0"/>
        <v>1</v>
      </c>
      <c r="D45" s="110" t="s">
        <v>62</v>
      </c>
      <c r="E45" s="6"/>
      <c r="F45" s="19">
        <v>131.51499999999999</v>
      </c>
      <c r="G45" s="17">
        <f t="shared" si="1"/>
        <v>131.51499999999999</v>
      </c>
      <c r="H45" s="18">
        <v>2.84</v>
      </c>
      <c r="I45" s="18">
        <v>22.23</v>
      </c>
      <c r="J45" s="18">
        <v>169.93</v>
      </c>
      <c r="K45" s="19">
        <v>373.50259999999992</v>
      </c>
      <c r="L45" s="18">
        <v>2923.57845</v>
      </c>
      <c r="M45" s="20">
        <v>22348.343949999999</v>
      </c>
      <c r="N45" s="19">
        <v>318.26629999999994</v>
      </c>
      <c r="O45" s="18">
        <v>2847.2997499999997</v>
      </c>
      <c r="P45" s="20">
        <v>8009.2634999999991</v>
      </c>
      <c r="Q45" s="19">
        <f t="shared" si="2"/>
        <v>318.26629999999994</v>
      </c>
      <c r="R45" s="18">
        <f t="shared" si="3"/>
        <v>2847.2997499999997</v>
      </c>
      <c r="S45" s="20">
        <f t="shared" si="4"/>
        <v>8009.2634999999991</v>
      </c>
      <c r="T45" s="107">
        <f>(G46-G45)/G45</f>
        <v>-5.3887389271185721E-2</v>
      </c>
      <c r="U45" s="108">
        <f>(N46-N45)/N45</f>
        <v>-3.4339608057780246E-2</v>
      </c>
      <c r="V45" s="108">
        <f>(O46-O45)/O45</f>
        <v>-5.2576378725141121E-2</v>
      </c>
      <c r="W45" s="109">
        <f>(P46-P45)/P45</f>
        <v>-4.5498213412506566E-2</v>
      </c>
    </row>
    <row r="46" spans="1:23" x14ac:dyDescent="0.25">
      <c r="A46" s="110"/>
      <c r="B46" s="91">
        <v>100000000</v>
      </c>
      <c r="C46" s="91">
        <f t="shared" si="0"/>
        <v>1</v>
      </c>
      <c r="D46" s="110"/>
      <c r="E46" s="5" t="s">
        <v>66</v>
      </c>
      <c r="F46" s="19">
        <v>124.428</v>
      </c>
      <c r="G46" s="17">
        <f t="shared" si="1"/>
        <v>124.428</v>
      </c>
      <c r="H46" s="18">
        <v>2.89</v>
      </c>
      <c r="I46" s="18">
        <v>22.26</v>
      </c>
      <c r="J46" s="18">
        <v>170.47</v>
      </c>
      <c r="K46" s="19">
        <v>359.59692000000001</v>
      </c>
      <c r="L46" s="18">
        <v>2769.76728</v>
      </c>
      <c r="M46" s="20">
        <v>21211.241159999998</v>
      </c>
      <c r="N46" s="19">
        <v>307.33716000000004</v>
      </c>
      <c r="O46" s="18">
        <v>2697.5990400000001</v>
      </c>
      <c r="P46" s="20">
        <v>7644.8563199999999</v>
      </c>
      <c r="Q46" s="19">
        <f t="shared" si="2"/>
        <v>307.33716000000004</v>
      </c>
      <c r="R46" s="18">
        <f t="shared" si="3"/>
        <v>2697.5990400000001</v>
      </c>
      <c r="S46" s="20">
        <f t="shared" si="4"/>
        <v>7644.8563199999999</v>
      </c>
      <c r="T46" s="107"/>
      <c r="U46" s="108"/>
      <c r="V46" s="108"/>
      <c r="W46" s="109"/>
    </row>
    <row r="47" spans="1:23" x14ac:dyDescent="0.25">
      <c r="A47" s="110" t="s">
        <v>11</v>
      </c>
      <c r="B47" s="91">
        <v>100000000</v>
      </c>
      <c r="C47" s="91">
        <f t="shared" si="0"/>
        <v>1</v>
      </c>
      <c r="D47" s="110" t="s">
        <v>59</v>
      </c>
      <c r="E47" s="6"/>
      <c r="F47" s="19">
        <v>66.995000000000005</v>
      </c>
      <c r="G47" s="17">
        <f t="shared" si="1"/>
        <v>66.995000000000005</v>
      </c>
      <c r="H47" s="18">
        <v>11.87</v>
      </c>
      <c r="I47" s="18">
        <v>42.17</v>
      </c>
      <c r="J47" s="18">
        <v>149.91999999999999</v>
      </c>
      <c r="K47" s="19">
        <v>795.23064999999997</v>
      </c>
      <c r="L47" s="18">
        <v>2825.1791500000004</v>
      </c>
      <c r="M47" s="20">
        <v>10043.8904</v>
      </c>
      <c r="N47" s="19">
        <v>481.69405000000006</v>
      </c>
      <c r="O47" s="18">
        <v>2240.9827500000001</v>
      </c>
      <c r="P47" s="20">
        <v>4211.3056999999999</v>
      </c>
      <c r="Q47" s="19">
        <f t="shared" si="2"/>
        <v>481.69405000000006</v>
      </c>
      <c r="R47" s="18">
        <f t="shared" si="3"/>
        <v>2240.9827500000001</v>
      </c>
      <c r="S47" s="20">
        <f t="shared" si="4"/>
        <v>4211.3056999999999</v>
      </c>
      <c r="T47" s="107">
        <f>(G48-G47)/G47</f>
        <v>-3.5211582953951916E-2</v>
      </c>
      <c r="U47" s="108">
        <f>(N48-N47)/N47</f>
        <v>-0.33444359547310171</v>
      </c>
      <c r="V47" s="108">
        <f>(O48-O47)/O47</f>
        <v>-0.1027035080925992</v>
      </c>
      <c r="W47" s="109">
        <f>(P48-P47)/P47</f>
        <v>-7.5116926325248773E-2</v>
      </c>
    </row>
    <row r="48" spans="1:23" x14ac:dyDescent="0.25">
      <c r="A48" s="110"/>
      <c r="B48" s="91">
        <v>100000000</v>
      </c>
      <c r="C48" s="91">
        <f t="shared" si="0"/>
        <v>1</v>
      </c>
      <c r="D48" s="110"/>
      <c r="E48" s="5" t="s">
        <v>66</v>
      </c>
      <c r="F48" s="19">
        <v>64.635999999999996</v>
      </c>
      <c r="G48" s="17">
        <f t="shared" si="1"/>
        <v>64.635999999999996</v>
      </c>
      <c r="H48" s="18">
        <v>9.64</v>
      </c>
      <c r="I48" s="18">
        <v>39.83</v>
      </c>
      <c r="J48" s="18">
        <v>147.32</v>
      </c>
      <c r="K48" s="19">
        <v>623.09104000000002</v>
      </c>
      <c r="L48" s="18">
        <v>2574.4518799999996</v>
      </c>
      <c r="M48" s="20">
        <v>9522.1755199999989</v>
      </c>
      <c r="N48" s="19">
        <v>320.59456</v>
      </c>
      <c r="O48" s="18">
        <v>2010.8259599999999</v>
      </c>
      <c r="P48" s="20">
        <v>3894.9653599999997</v>
      </c>
      <c r="Q48" s="19">
        <f t="shared" si="2"/>
        <v>320.59456</v>
      </c>
      <c r="R48" s="18">
        <f t="shared" si="3"/>
        <v>2010.8259599999999</v>
      </c>
      <c r="S48" s="20">
        <f t="shared" si="4"/>
        <v>3894.9653599999997</v>
      </c>
      <c r="T48" s="107"/>
      <c r="U48" s="108"/>
      <c r="V48" s="108"/>
      <c r="W48" s="109"/>
    </row>
    <row r="49" spans="1:23" x14ac:dyDescent="0.25">
      <c r="A49" s="110"/>
      <c r="B49" s="91">
        <v>100000000</v>
      </c>
      <c r="C49" s="91">
        <f t="shared" si="0"/>
        <v>1</v>
      </c>
      <c r="D49" s="110" t="s">
        <v>62</v>
      </c>
      <c r="E49" s="6"/>
      <c r="F49" s="19">
        <v>61.139000000000003</v>
      </c>
      <c r="G49" s="17">
        <f t="shared" si="1"/>
        <v>61.139000000000003</v>
      </c>
      <c r="H49" s="18">
        <v>10.94</v>
      </c>
      <c r="I49" s="18">
        <v>41.23</v>
      </c>
      <c r="J49" s="18">
        <v>148.30000000000001</v>
      </c>
      <c r="K49" s="19">
        <v>668.86066000000005</v>
      </c>
      <c r="L49" s="18">
        <v>2520.7609699999998</v>
      </c>
      <c r="M49" s="20">
        <v>9066.913700000001</v>
      </c>
      <c r="N49" s="19">
        <v>382.73014000000001</v>
      </c>
      <c r="O49" s="18">
        <v>1987.62889</v>
      </c>
      <c r="P49" s="20">
        <v>3744.1523600000005</v>
      </c>
      <c r="Q49" s="19">
        <f t="shared" si="2"/>
        <v>382.73014000000001</v>
      </c>
      <c r="R49" s="18">
        <f t="shared" si="3"/>
        <v>1987.62889</v>
      </c>
      <c r="S49" s="20">
        <f t="shared" si="4"/>
        <v>3744.1523600000005</v>
      </c>
      <c r="T49" s="107">
        <f>(G50-G49)/G49</f>
        <v>9.1627275552429652E-2</v>
      </c>
      <c r="U49" s="108">
        <f>(N50-N49)/N49</f>
        <v>0.30437252733740805</v>
      </c>
      <c r="V49" s="108">
        <f>(O50-O49)/O49</f>
        <v>0.12990642332633826</v>
      </c>
      <c r="W49" s="109">
        <f>(P50-P49)/P49</f>
        <v>0.18628013043785416</v>
      </c>
    </row>
    <row r="50" spans="1:23" x14ac:dyDescent="0.25">
      <c r="A50" s="110"/>
      <c r="B50" s="91">
        <v>100000000</v>
      </c>
      <c r="C50" s="91">
        <f t="shared" si="0"/>
        <v>1</v>
      </c>
      <c r="D50" s="110"/>
      <c r="E50" s="5" t="s">
        <v>66</v>
      </c>
      <c r="F50" s="19">
        <v>66.741</v>
      </c>
      <c r="G50" s="17">
        <f t="shared" si="1"/>
        <v>66.741</v>
      </c>
      <c r="H50" s="18">
        <v>12.16</v>
      </c>
      <c r="I50" s="18">
        <v>42.37</v>
      </c>
      <c r="J50" s="18">
        <v>153.61000000000001</v>
      </c>
      <c r="K50" s="19">
        <v>811.57056</v>
      </c>
      <c r="L50" s="18">
        <v>2827.8161699999996</v>
      </c>
      <c r="M50" s="20">
        <v>10252.085010000001</v>
      </c>
      <c r="N50" s="19">
        <v>499.22268000000003</v>
      </c>
      <c r="O50" s="18">
        <v>2245.8346499999998</v>
      </c>
      <c r="P50" s="20">
        <v>4441.61355</v>
      </c>
      <c r="Q50" s="19">
        <f t="shared" si="2"/>
        <v>499.22268000000003</v>
      </c>
      <c r="R50" s="18">
        <f t="shared" si="3"/>
        <v>2245.8346499999998</v>
      </c>
      <c r="S50" s="20">
        <f t="shared" si="4"/>
        <v>4441.61355</v>
      </c>
      <c r="T50" s="107"/>
      <c r="U50" s="108"/>
      <c r="V50" s="108"/>
      <c r="W50" s="109"/>
    </row>
    <row r="51" spans="1:23" x14ac:dyDescent="0.25">
      <c r="A51" s="110" t="s">
        <v>16</v>
      </c>
      <c r="B51" s="91">
        <v>100000000</v>
      </c>
      <c r="C51" s="91">
        <f t="shared" si="0"/>
        <v>1</v>
      </c>
      <c r="D51" s="110" t="s">
        <v>59</v>
      </c>
      <c r="E51" s="6"/>
      <c r="F51" s="19">
        <v>174.38399999999999</v>
      </c>
      <c r="G51" s="17">
        <f t="shared" si="1"/>
        <v>174.38399999999999</v>
      </c>
      <c r="H51" s="18">
        <v>5.81</v>
      </c>
      <c r="I51" s="18">
        <v>33.69</v>
      </c>
      <c r="J51" s="18">
        <v>143.78</v>
      </c>
      <c r="K51" s="19">
        <v>1013.1710399999998</v>
      </c>
      <c r="L51" s="18">
        <v>5874.9969599999995</v>
      </c>
      <c r="M51" s="20">
        <v>25072.931519999998</v>
      </c>
      <c r="N51" s="19">
        <v>763.80191999999988</v>
      </c>
      <c r="O51" s="18">
        <v>5165.2540799999997</v>
      </c>
      <c r="P51" s="20">
        <v>10830.990239999999</v>
      </c>
      <c r="Q51" s="19">
        <f t="shared" si="2"/>
        <v>763.80191999999988</v>
      </c>
      <c r="R51" s="18">
        <f t="shared" si="3"/>
        <v>5165.2540799999997</v>
      </c>
      <c r="S51" s="20">
        <f t="shared" si="4"/>
        <v>10830.990239999999</v>
      </c>
      <c r="T51" s="107">
        <f>(G52-G51)/G51</f>
        <v>-0.10152880998256712</v>
      </c>
      <c r="U51" s="108">
        <f>(N52-N51)/N51</f>
        <v>5.8472908787660788E-2</v>
      </c>
      <c r="V51" s="108">
        <f>(O52-O51)/O51</f>
        <v>-6.0882240278874948E-2</v>
      </c>
      <c r="W51" s="109">
        <f>(P52-P51)/P51</f>
        <v>-0.12481875710747566</v>
      </c>
    </row>
    <row r="52" spans="1:23" x14ac:dyDescent="0.25">
      <c r="A52" s="110"/>
      <c r="B52" s="91">
        <v>100000000</v>
      </c>
      <c r="C52" s="91">
        <f t="shared" si="0"/>
        <v>1</v>
      </c>
      <c r="D52" s="110"/>
      <c r="E52" s="5" t="s">
        <v>66</v>
      </c>
      <c r="F52" s="19">
        <v>156.679</v>
      </c>
      <c r="G52" s="17">
        <f t="shared" si="1"/>
        <v>156.679</v>
      </c>
      <c r="H52" s="18">
        <v>6.59</v>
      </c>
      <c r="I52" s="18">
        <v>35.03</v>
      </c>
      <c r="J52" s="18">
        <v>142.16999999999999</v>
      </c>
      <c r="K52" s="19">
        <v>1032.5146099999999</v>
      </c>
      <c r="L52" s="18">
        <v>5488.4653699999999</v>
      </c>
      <c r="M52" s="20">
        <v>22275.05343</v>
      </c>
      <c r="N52" s="19">
        <v>808.46364000000005</v>
      </c>
      <c r="O52" s="18">
        <v>4850.7818400000006</v>
      </c>
      <c r="P52" s="20">
        <v>9479.0794999999998</v>
      </c>
      <c r="Q52" s="19">
        <f t="shared" si="2"/>
        <v>808.46364000000005</v>
      </c>
      <c r="R52" s="18">
        <f t="shared" si="3"/>
        <v>4850.7818400000006</v>
      </c>
      <c r="S52" s="20">
        <f t="shared" si="4"/>
        <v>9479.0794999999998</v>
      </c>
      <c r="T52" s="107"/>
      <c r="U52" s="108"/>
      <c r="V52" s="108"/>
      <c r="W52" s="109"/>
    </row>
    <row r="53" spans="1:23" x14ac:dyDescent="0.25">
      <c r="A53" s="110"/>
      <c r="B53" s="91">
        <v>100000000</v>
      </c>
      <c r="C53" s="91">
        <f t="shared" si="0"/>
        <v>1</v>
      </c>
      <c r="D53" s="110" t="s">
        <v>62</v>
      </c>
      <c r="E53" s="6"/>
      <c r="F53" s="19">
        <v>168.065</v>
      </c>
      <c r="G53" s="17">
        <f t="shared" si="1"/>
        <v>168.065</v>
      </c>
      <c r="H53" s="18">
        <v>8.85</v>
      </c>
      <c r="I53" s="18">
        <v>37.29</v>
      </c>
      <c r="J53" s="18">
        <v>139.76</v>
      </c>
      <c r="K53" s="19">
        <v>1487.3752499999998</v>
      </c>
      <c r="L53" s="18">
        <v>6267.1438499999995</v>
      </c>
      <c r="M53" s="20">
        <v>23488.764399999996</v>
      </c>
      <c r="N53" s="19">
        <v>1247.0423000000001</v>
      </c>
      <c r="O53" s="18">
        <v>5583.1192999999994</v>
      </c>
      <c r="P53" s="20">
        <v>9762.8958500000008</v>
      </c>
      <c r="Q53" s="19">
        <f t="shared" si="2"/>
        <v>1247.0423000000001</v>
      </c>
      <c r="R53" s="18">
        <f t="shared" si="3"/>
        <v>5583.1192999999994</v>
      </c>
      <c r="S53" s="20">
        <f t="shared" si="4"/>
        <v>9762.8958500000008</v>
      </c>
      <c r="T53" s="107">
        <f>(G54-G53)/G53</f>
        <v>-0.14924582750721446</v>
      </c>
      <c r="U53" s="108">
        <f>(N54-N53)/N53</f>
        <v>4.3377758717567036E-2</v>
      </c>
      <c r="V53" s="108">
        <f>(O54-O53)/O53</f>
        <v>-9.7002043284298109E-2</v>
      </c>
      <c r="W53" s="109">
        <f>(P54-P53)/P53</f>
        <v>-0.15700791584292079</v>
      </c>
    </row>
    <row r="54" spans="1:23" x14ac:dyDescent="0.25">
      <c r="A54" s="110"/>
      <c r="B54" s="91">
        <v>100000000</v>
      </c>
      <c r="C54" s="91">
        <f t="shared" si="0"/>
        <v>1</v>
      </c>
      <c r="D54" s="110"/>
      <c r="E54" s="5" t="s">
        <v>66</v>
      </c>
      <c r="F54" s="19">
        <v>142.982</v>
      </c>
      <c r="G54" s="17">
        <f t="shared" si="1"/>
        <v>142.982</v>
      </c>
      <c r="H54" s="18">
        <v>10.53</v>
      </c>
      <c r="I54" s="18">
        <v>39.33</v>
      </c>
      <c r="J54" s="18">
        <v>139.22999999999999</v>
      </c>
      <c r="K54" s="19">
        <v>1505.6004599999999</v>
      </c>
      <c r="L54" s="18">
        <v>5623.4820599999994</v>
      </c>
      <c r="M54" s="20">
        <v>19907.383859999998</v>
      </c>
      <c r="N54" s="19">
        <v>1301.1361999999999</v>
      </c>
      <c r="O54" s="18">
        <v>5041.5453199999993</v>
      </c>
      <c r="P54" s="20">
        <v>8230.0439200000001</v>
      </c>
      <c r="Q54" s="19">
        <f t="shared" si="2"/>
        <v>1301.1361999999999</v>
      </c>
      <c r="R54" s="18">
        <f t="shared" si="3"/>
        <v>5041.5453199999993</v>
      </c>
      <c r="S54" s="20">
        <f t="shared" si="4"/>
        <v>8230.0439200000001</v>
      </c>
      <c r="T54" s="107"/>
      <c r="U54" s="108"/>
      <c r="V54" s="108"/>
      <c r="W54" s="109"/>
    </row>
    <row r="55" spans="1:23" x14ac:dyDescent="0.25">
      <c r="A55" s="110" t="s">
        <v>17</v>
      </c>
      <c r="B55" s="91">
        <v>100000000</v>
      </c>
      <c r="C55" s="91">
        <f t="shared" si="0"/>
        <v>1</v>
      </c>
      <c r="D55" s="110" t="s">
        <v>59</v>
      </c>
      <c r="E55" s="6"/>
      <c r="F55" s="19">
        <v>173.376</v>
      </c>
      <c r="G55" s="17">
        <f t="shared" si="1"/>
        <v>173.376</v>
      </c>
      <c r="H55" s="18">
        <v>3.72</v>
      </c>
      <c r="I55" s="18">
        <v>30.18</v>
      </c>
      <c r="J55" s="18">
        <v>171.31</v>
      </c>
      <c r="K55" s="19">
        <v>644.95872000000008</v>
      </c>
      <c r="L55" s="18">
        <v>5232.4876800000002</v>
      </c>
      <c r="M55" s="20">
        <v>29701.042560000002</v>
      </c>
      <c r="N55" s="19">
        <v>572.14080000000001</v>
      </c>
      <c r="O55" s="18">
        <v>5131.9296000000004</v>
      </c>
      <c r="P55" s="20">
        <v>11806.9056</v>
      </c>
      <c r="Q55" s="19">
        <f t="shared" si="2"/>
        <v>572.14080000000001</v>
      </c>
      <c r="R55" s="18">
        <f t="shared" si="3"/>
        <v>5131.9296000000004</v>
      </c>
      <c r="S55" s="20">
        <f t="shared" si="4"/>
        <v>11806.9056</v>
      </c>
      <c r="T55" s="107">
        <f>(G56-G55)/G55</f>
        <v>-0.10778885197489858</v>
      </c>
      <c r="U55" s="108">
        <f>(N56-N55)/N55</f>
        <v>-0.26460172041567398</v>
      </c>
      <c r="V55" s="108">
        <f>(O56-O55)/O55</f>
        <v>-9.3923408458292335E-2</v>
      </c>
      <c r="W55" s="109">
        <f>(P56-P55)/P55</f>
        <v>-0.123248604613219</v>
      </c>
    </row>
    <row r="56" spans="1:23" x14ac:dyDescent="0.25">
      <c r="A56" s="110"/>
      <c r="B56" s="91">
        <v>100000000</v>
      </c>
      <c r="C56" s="91">
        <f t="shared" si="0"/>
        <v>1</v>
      </c>
      <c r="D56" s="110"/>
      <c r="E56" s="5" t="s">
        <v>66</v>
      </c>
      <c r="F56" s="19">
        <v>154.68799999999999</v>
      </c>
      <c r="G56" s="17">
        <f t="shared" si="1"/>
        <v>154.68799999999999</v>
      </c>
      <c r="H56" s="18">
        <v>3.14</v>
      </c>
      <c r="I56" s="18">
        <v>30.64</v>
      </c>
      <c r="J56" s="18">
        <v>170.13</v>
      </c>
      <c r="K56" s="19">
        <v>485.72031999999996</v>
      </c>
      <c r="L56" s="18">
        <v>4739.6403199999995</v>
      </c>
      <c r="M56" s="20">
        <v>26317.069439999996</v>
      </c>
      <c r="N56" s="19">
        <v>420.75135999999998</v>
      </c>
      <c r="O56" s="18">
        <v>4649.9212799999996</v>
      </c>
      <c r="P56" s="20">
        <v>10351.720959999999</v>
      </c>
      <c r="Q56" s="19">
        <f t="shared" si="2"/>
        <v>420.75135999999998</v>
      </c>
      <c r="R56" s="18">
        <f t="shared" si="3"/>
        <v>4649.9212799999996</v>
      </c>
      <c r="S56" s="20">
        <f t="shared" si="4"/>
        <v>10351.720959999999</v>
      </c>
      <c r="T56" s="107"/>
      <c r="U56" s="108"/>
      <c r="V56" s="108"/>
      <c r="W56" s="109"/>
    </row>
    <row r="57" spans="1:23" x14ac:dyDescent="0.25">
      <c r="A57" s="110"/>
      <c r="B57" s="91">
        <v>100000000</v>
      </c>
      <c r="C57" s="91">
        <f t="shared" si="0"/>
        <v>1</v>
      </c>
      <c r="D57" s="110" t="s">
        <v>62</v>
      </c>
      <c r="E57" s="6"/>
      <c r="F57" s="19">
        <v>127.48399999999999</v>
      </c>
      <c r="G57" s="17">
        <f t="shared" si="1"/>
        <v>127.48399999999999</v>
      </c>
      <c r="H57" s="18">
        <v>3.02</v>
      </c>
      <c r="I57" s="18">
        <v>30.69</v>
      </c>
      <c r="J57" s="18">
        <v>169.71</v>
      </c>
      <c r="K57" s="19">
        <v>385.00167999999996</v>
      </c>
      <c r="L57" s="18">
        <v>3912.48396</v>
      </c>
      <c r="M57" s="20">
        <v>21635.309639999999</v>
      </c>
      <c r="N57" s="19">
        <v>331.45839999999998</v>
      </c>
      <c r="O57" s="18">
        <v>3838.54324</v>
      </c>
      <c r="P57" s="20">
        <v>8477.6859999999997</v>
      </c>
      <c r="Q57" s="19">
        <f t="shared" si="2"/>
        <v>331.45839999999998</v>
      </c>
      <c r="R57" s="18">
        <f t="shared" si="3"/>
        <v>3838.54324</v>
      </c>
      <c r="S57" s="20">
        <f t="shared" si="4"/>
        <v>8477.6859999999997</v>
      </c>
      <c r="T57" s="107">
        <f>(G58-G57)/G57</f>
        <v>1.4543001474694858E-2</v>
      </c>
      <c r="U57" s="108">
        <f>(N58-N57)/N57</f>
        <v>-6.740085633672277E-2</v>
      </c>
      <c r="V57" s="108">
        <f>(O58-O57)/O57</f>
        <v>-1.5445151009944104E-2</v>
      </c>
      <c r="W57" s="109">
        <f>(P58-P57)/P57</f>
        <v>2.079807862664404E-2</v>
      </c>
    </row>
    <row r="58" spans="1:23" x14ac:dyDescent="0.25">
      <c r="A58" s="110"/>
      <c r="B58" s="91">
        <v>100000000</v>
      </c>
      <c r="C58" s="91">
        <f t="shared" si="0"/>
        <v>1</v>
      </c>
      <c r="D58" s="110"/>
      <c r="E58" s="5" t="s">
        <v>66</v>
      </c>
      <c r="F58" s="19">
        <v>129.33799999999999</v>
      </c>
      <c r="G58" s="17">
        <f t="shared" si="1"/>
        <v>129.33799999999999</v>
      </c>
      <c r="H58" s="18">
        <v>2.81</v>
      </c>
      <c r="I58" s="18">
        <v>29.8</v>
      </c>
      <c r="J58" s="18">
        <v>170.12</v>
      </c>
      <c r="K58" s="19">
        <v>363.43977999999998</v>
      </c>
      <c r="L58" s="18">
        <v>3854.2723999999998</v>
      </c>
      <c r="M58" s="20">
        <v>22002.98056</v>
      </c>
      <c r="N58" s="19">
        <v>309.11781999999999</v>
      </c>
      <c r="O58" s="18">
        <v>3779.2563599999999</v>
      </c>
      <c r="P58" s="20">
        <v>8654.0055799999991</v>
      </c>
      <c r="Q58" s="19">
        <f t="shared" si="2"/>
        <v>309.11781999999999</v>
      </c>
      <c r="R58" s="18">
        <f t="shared" si="3"/>
        <v>3779.2563599999999</v>
      </c>
      <c r="S58" s="20">
        <f t="shared" si="4"/>
        <v>8654.0055799999991</v>
      </c>
      <c r="T58" s="107"/>
      <c r="U58" s="108"/>
      <c r="V58" s="108"/>
      <c r="W58" s="109"/>
    </row>
    <row r="59" spans="1:23" x14ac:dyDescent="0.25">
      <c r="A59" s="110" t="s">
        <v>20</v>
      </c>
      <c r="B59" s="91">
        <v>100000000</v>
      </c>
      <c r="C59" s="91">
        <f t="shared" si="0"/>
        <v>1</v>
      </c>
      <c r="D59" s="110" t="s">
        <v>59</v>
      </c>
      <c r="E59" s="6"/>
      <c r="F59" s="19">
        <v>198.58</v>
      </c>
      <c r="G59" s="17">
        <f t="shared" si="1"/>
        <v>198.58</v>
      </c>
      <c r="H59" s="18">
        <v>2.8</v>
      </c>
      <c r="I59" s="18">
        <v>24.36</v>
      </c>
      <c r="J59" s="18">
        <v>168.52</v>
      </c>
      <c r="K59" s="19">
        <v>556.024</v>
      </c>
      <c r="L59" s="18">
        <v>4837.4088000000002</v>
      </c>
      <c r="M59" s="20">
        <v>33464.701600000008</v>
      </c>
      <c r="N59" s="19">
        <v>472.62040000000002</v>
      </c>
      <c r="O59" s="18">
        <v>4722.2324000000008</v>
      </c>
      <c r="P59" s="20">
        <v>12319.903200000001</v>
      </c>
      <c r="Q59" s="19">
        <f t="shared" si="2"/>
        <v>472.62040000000002</v>
      </c>
      <c r="R59" s="18">
        <f t="shared" si="3"/>
        <v>4722.2324000000008</v>
      </c>
      <c r="S59" s="20">
        <f t="shared" si="4"/>
        <v>12319.903200000001</v>
      </c>
      <c r="T59" s="107">
        <f>(G60-G59)/G59</f>
        <v>-5.6113405176754963E-2</v>
      </c>
      <c r="U59" s="108">
        <f>(N60-N59)/N59</f>
        <v>-2.4386124678494589E-2</v>
      </c>
      <c r="V59" s="108">
        <f>(O60-O59)/O59</f>
        <v>-5.0159536832621983E-2</v>
      </c>
      <c r="W59" s="109">
        <f>(P60-P59)/P59</f>
        <v>-1.473088522318894E-2</v>
      </c>
    </row>
    <row r="60" spans="1:23" x14ac:dyDescent="0.25">
      <c r="A60" s="110"/>
      <c r="B60" s="91">
        <v>100000000</v>
      </c>
      <c r="C60" s="91">
        <f t="shared" si="0"/>
        <v>1</v>
      </c>
      <c r="D60" s="110"/>
      <c r="E60" s="5" t="s">
        <v>66</v>
      </c>
      <c r="F60" s="19">
        <v>187.43700000000001</v>
      </c>
      <c r="G60" s="17">
        <f t="shared" si="1"/>
        <v>187.43700000000001</v>
      </c>
      <c r="H60" s="18">
        <v>2.88</v>
      </c>
      <c r="I60" s="18">
        <v>24.51</v>
      </c>
      <c r="J60" s="18">
        <v>171.24</v>
      </c>
      <c r="K60" s="19">
        <v>539.81856000000005</v>
      </c>
      <c r="L60" s="18">
        <v>4594.0808700000007</v>
      </c>
      <c r="M60" s="20">
        <v>32096.711880000003</v>
      </c>
      <c r="N60" s="19">
        <v>461.09502000000003</v>
      </c>
      <c r="O60" s="18">
        <v>4485.3674099999998</v>
      </c>
      <c r="P60" s="20">
        <v>12138.420120000002</v>
      </c>
      <c r="Q60" s="19">
        <f t="shared" si="2"/>
        <v>461.09502000000003</v>
      </c>
      <c r="R60" s="18">
        <f t="shared" si="3"/>
        <v>4485.3674099999998</v>
      </c>
      <c r="S60" s="20">
        <f t="shared" si="4"/>
        <v>12138.420120000002</v>
      </c>
      <c r="T60" s="107"/>
      <c r="U60" s="108"/>
      <c r="V60" s="108"/>
      <c r="W60" s="109"/>
    </row>
    <row r="61" spans="1:23" x14ac:dyDescent="0.25">
      <c r="A61" s="110"/>
      <c r="B61" s="91">
        <v>100000000</v>
      </c>
      <c r="C61" s="91">
        <f t="shared" si="0"/>
        <v>1</v>
      </c>
      <c r="D61" s="110" t="s">
        <v>62</v>
      </c>
      <c r="E61" s="6"/>
      <c r="F61" s="19">
        <v>237.303</v>
      </c>
      <c r="G61" s="17">
        <f t="shared" si="1"/>
        <v>237.303</v>
      </c>
      <c r="H61" s="18">
        <v>3.2</v>
      </c>
      <c r="I61" s="18">
        <v>23.59</v>
      </c>
      <c r="J61" s="18">
        <v>170.14</v>
      </c>
      <c r="K61" s="19">
        <v>759.36959999999999</v>
      </c>
      <c r="L61" s="18">
        <v>5597.9777699999995</v>
      </c>
      <c r="M61" s="20">
        <v>40374.732419999993</v>
      </c>
      <c r="N61" s="19">
        <v>659.70233999999994</v>
      </c>
      <c r="O61" s="18">
        <v>5460.3420300000007</v>
      </c>
      <c r="P61" s="20">
        <v>15106.708979999999</v>
      </c>
      <c r="Q61" s="19">
        <f t="shared" si="2"/>
        <v>659.70233999999994</v>
      </c>
      <c r="R61" s="18">
        <f t="shared" si="3"/>
        <v>5460.3420300000007</v>
      </c>
      <c r="S61" s="20">
        <f t="shared" si="4"/>
        <v>15106.708979999999</v>
      </c>
      <c r="T61" s="107">
        <f>(G62-G61)/G61</f>
        <v>-5.5330105392683598E-2</v>
      </c>
      <c r="U61" s="108">
        <f>(N62-N61)/N61</f>
        <v>0.1451573902254161</v>
      </c>
      <c r="V61" s="108">
        <f>(O62-O61)/O61</f>
        <v>-8.9405551395468241E-2</v>
      </c>
      <c r="W61" s="109">
        <f>(P62-P61)/P61</f>
        <v>-5.9188323623879047E-2</v>
      </c>
    </row>
    <row r="62" spans="1:23" x14ac:dyDescent="0.25">
      <c r="A62" s="110"/>
      <c r="B62" s="91">
        <v>100000000</v>
      </c>
      <c r="C62" s="91">
        <f t="shared" si="0"/>
        <v>1</v>
      </c>
      <c r="D62" s="110"/>
      <c r="E62" s="5" t="s">
        <v>66</v>
      </c>
      <c r="F62" s="19">
        <v>224.173</v>
      </c>
      <c r="G62" s="17">
        <f t="shared" si="1"/>
        <v>224.173</v>
      </c>
      <c r="H62" s="18">
        <v>3.79</v>
      </c>
      <c r="I62" s="18">
        <v>22.76</v>
      </c>
      <c r="J62" s="18">
        <v>169.88</v>
      </c>
      <c r="K62" s="19">
        <v>849.61567000000002</v>
      </c>
      <c r="L62" s="18">
        <v>5102.1774800000003</v>
      </c>
      <c r="M62" s="20">
        <v>38082.509239999999</v>
      </c>
      <c r="N62" s="19">
        <v>755.46301000000005</v>
      </c>
      <c r="O62" s="18">
        <v>4972.1571400000003</v>
      </c>
      <c r="P62" s="20">
        <v>14212.5682</v>
      </c>
      <c r="Q62" s="19">
        <f t="shared" si="2"/>
        <v>755.46301000000005</v>
      </c>
      <c r="R62" s="18">
        <f t="shared" si="3"/>
        <v>4972.1571400000003</v>
      </c>
      <c r="S62" s="20">
        <f t="shared" si="4"/>
        <v>14212.5682</v>
      </c>
      <c r="T62" s="107"/>
      <c r="U62" s="108"/>
      <c r="V62" s="108"/>
      <c r="W62" s="109"/>
    </row>
    <row r="63" spans="1:23" x14ac:dyDescent="0.25">
      <c r="A63" s="110" t="s">
        <v>21</v>
      </c>
      <c r="B63" s="91">
        <v>100000000</v>
      </c>
      <c r="C63" s="91">
        <f t="shared" si="0"/>
        <v>1</v>
      </c>
      <c r="D63" s="110" t="s">
        <v>59</v>
      </c>
      <c r="E63" s="6"/>
      <c r="F63" s="19">
        <v>5.3209999999999997</v>
      </c>
      <c r="G63" s="17">
        <f t="shared" si="1"/>
        <v>5.3209999999999997</v>
      </c>
      <c r="H63" s="18">
        <v>9.81</v>
      </c>
      <c r="I63" s="18">
        <v>36.229999999999997</v>
      </c>
      <c r="J63" s="18">
        <v>158.25</v>
      </c>
      <c r="K63" s="19">
        <v>52.199010000000001</v>
      </c>
      <c r="L63" s="18">
        <v>192.77982999999998</v>
      </c>
      <c r="M63" s="20">
        <v>842.04824999999994</v>
      </c>
      <c r="N63" s="19">
        <v>22.454619999999998</v>
      </c>
      <c r="O63" s="18">
        <v>143.29452999999998</v>
      </c>
      <c r="P63" s="20">
        <v>317.71690999999998</v>
      </c>
      <c r="Q63" s="19">
        <f t="shared" si="2"/>
        <v>22.454619999999998</v>
      </c>
      <c r="R63" s="18">
        <f t="shared" si="3"/>
        <v>143.29452999999998</v>
      </c>
      <c r="S63" s="20">
        <f t="shared" si="4"/>
        <v>317.71690999999998</v>
      </c>
      <c r="T63" s="107">
        <f>(G64-G63)/G63</f>
        <v>-0.42623566998684453</v>
      </c>
      <c r="U63" s="108">
        <f>(N64-N63)/N63</f>
        <v>-0.42215677664551882</v>
      </c>
      <c r="V63" s="108">
        <f>(O64-O63)/O63</f>
        <v>-0.48141760889267715</v>
      </c>
      <c r="W63" s="109">
        <f>(P64-P63)/P63</f>
        <v>-0.45333356666473934</v>
      </c>
    </row>
    <row r="64" spans="1:23" x14ac:dyDescent="0.25">
      <c r="A64" s="110"/>
      <c r="B64" s="91">
        <v>100000000</v>
      </c>
      <c r="C64" s="91">
        <f t="shared" ref="C64:C94" si="6">100000000/B64</f>
        <v>1</v>
      </c>
      <c r="D64" s="110"/>
      <c r="E64" s="5" t="s">
        <v>66</v>
      </c>
      <c r="F64" s="19">
        <v>3.0529999999999999</v>
      </c>
      <c r="G64" s="17">
        <f t="shared" ref="G64:G94" si="7">F64*C64</f>
        <v>3.0529999999999999</v>
      </c>
      <c r="H64" s="18">
        <v>9.84</v>
      </c>
      <c r="I64" s="18">
        <v>33.64</v>
      </c>
      <c r="J64" s="18">
        <v>155.41999999999999</v>
      </c>
      <c r="K64" s="19">
        <v>30.041519999999998</v>
      </c>
      <c r="L64" s="18">
        <v>102.70292000000001</v>
      </c>
      <c r="M64" s="20">
        <v>474.49725999999993</v>
      </c>
      <c r="N64" s="19">
        <v>12.975249999999999</v>
      </c>
      <c r="O64" s="18">
        <v>74.310019999999994</v>
      </c>
      <c r="P64" s="20">
        <v>173.68517</v>
      </c>
      <c r="Q64" s="19">
        <f t="shared" ref="Q64:Q94" si="8">N64*C64</f>
        <v>12.975249999999999</v>
      </c>
      <c r="R64" s="18">
        <f t="shared" ref="R64:R94" si="9">O64*C64</f>
        <v>74.310019999999994</v>
      </c>
      <c r="S64" s="20">
        <f t="shared" ref="S64:S94" si="10">P64*C64</f>
        <v>173.68517</v>
      </c>
      <c r="T64" s="107"/>
      <c r="U64" s="108"/>
      <c r="V64" s="108"/>
      <c r="W64" s="109"/>
    </row>
    <row r="65" spans="1:23" x14ac:dyDescent="0.25">
      <c r="A65" s="110"/>
      <c r="B65" s="91">
        <v>100000000</v>
      </c>
      <c r="C65" s="91">
        <f t="shared" si="6"/>
        <v>1</v>
      </c>
      <c r="D65" s="110" t="s">
        <v>62</v>
      </c>
      <c r="E65" s="6"/>
      <c r="F65" s="19">
        <v>5.3630000000000004</v>
      </c>
      <c r="G65" s="17">
        <f t="shared" si="7"/>
        <v>5.3630000000000004</v>
      </c>
      <c r="H65" s="18">
        <v>9.68</v>
      </c>
      <c r="I65" s="18">
        <v>35.65</v>
      </c>
      <c r="J65" s="18">
        <v>158.47999999999999</v>
      </c>
      <c r="K65" s="19">
        <v>51.91384</v>
      </c>
      <c r="L65" s="18">
        <v>191.19095000000002</v>
      </c>
      <c r="M65" s="20">
        <v>849.92823999999996</v>
      </c>
      <c r="N65" s="19">
        <v>21.934670000000001</v>
      </c>
      <c r="O65" s="18">
        <v>141.31505000000001</v>
      </c>
      <c r="P65" s="20">
        <v>321.51185000000004</v>
      </c>
      <c r="Q65" s="19">
        <f t="shared" si="8"/>
        <v>21.934670000000001</v>
      </c>
      <c r="R65" s="18">
        <f t="shared" si="9"/>
        <v>141.31505000000001</v>
      </c>
      <c r="S65" s="20">
        <f t="shared" si="10"/>
        <v>321.51185000000004</v>
      </c>
      <c r="T65" s="107">
        <f>(G66-G65)/G65</f>
        <v>-0.31735968674249493</v>
      </c>
      <c r="U65" s="108">
        <f>(N66-N65)/N65</f>
        <v>-0.3223668284045304</v>
      </c>
      <c r="V65" s="108">
        <f>(O66-O65)/O65</f>
        <v>-0.35155646903850651</v>
      </c>
      <c r="W65" s="109">
        <f>(P66-P65)/P65</f>
        <v>-0.32669688535585867</v>
      </c>
    </row>
    <row r="66" spans="1:23" x14ac:dyDescent="0.25">
      <c r="A66" s="110"/>
      <c r="B66" s="91">
        <v>100000000</v>
      </c>
      <c r="C66" s="91">
        <f t="shared" si="6"/>
        <v>1</v>
      </c>
      <c r="D66" s="110"/>
      <c r="E66" s="5" t="s">
        <v>66</v>
      </c>
      <c r="F66" s="19">
        <v>3.661</v>
      </c>
      <c r="G66" s="17">
        <f t="shared" si="7"/>
        <v>3.661</v>
      </c>
      <c r="H66" s="18">
        <v>9.65</v>
      </c>
      <c r="I66" s="18">
        <v>34.33</v>
      </c>
      <c r="J66" s="18">
        <v>157.66</v>
      </c>
      <c r="K66" s="19">
        <v>35.328650000000003</v>
      </c>
      <c r="L66" s="18">
        <v>125.68213</v>
      </c>
      <c r="M66" s="20">
        <v>577.19326000000001</v>
      </c>
      <c r="N66" s="19">
        <v>14.863659999999999</v>
      </c>
      <c r="O66" s="18">
        <v>91.634830000000008</v>
      </c>
      <c r="P66" s="20">
        <v>216.47493</v>
      </c>
      <c r="Q66" s="19">
        <f t="shared" si="8"/>
        <v>14.863659999999999</v>
      </c>
      <c r="R66" s="18">
        <f t="shared" si="9"/>
        <v>91.634830000000008</v>
      </c>
      <c r="S66" s="20">
        <f t="shared" si="10"/>
        <v>216.47493</v>
      </c>
      <c r="T66" s="107"/>
      <c r="U66" s="108"/>
      <c r="V66" s="108"/>
      <c r="W66" s="109"/>
    </row>
    <row r="67" spans="1:23" ht="15" customHeight="1" x14ac:dyDescent="0.25">
      <c r="A67" s="110" t="s">
        <v>23</v>
      </c>
      <c r="B67" s="91">
        <v>100000000</v>
      </c>
      <c r="C67" s="91">
        <f t="shared" si="6"/>
        <v>1</v>
      </c>
      <c r="D67" s="110" t="s">
        <v>59</v>
      </c>
      <c r="E67" s="6"/>
      <c r="F67" s="19">
        <v>152.624</v>
      </c>
      <c r="G67" s="17">
        <f t="shared" si="7"/>
        <v>152.624</v>
      </c>
      <c r="H67" s="18">
        <v>3.76</v>
      </c>
      <c r="I67" s="18">
        <v>22.19</v>
      </c>
      <c r="J67" s="18">
        <v>171.38</v>
      </c>
      <c r="K67" s="19">
        <v>573.86623999999995</v>
      </c>
      <c r="L67" s="18">
        <v>3386.7265600000001</v>
      </c>
      <c r="M67" s="20">
        <v>26156.701119999998</v>
      </c>
      <c r="N67" s="19">
        <v>509.76415999999995</v>
      </c>
      <c r="O67" s="18">
        <v>3298.2046399999999</v>
      </c>
      <c r="P67" s="20">
        <v>10367.748320000001</v>
      </c>
      <c r="Q67" s="19">
        <f t="shared" si="8"/>
        <v>509.76415999999995</v>
      </c>
      <c r="R67" s="18">
        <f t="shared" si="9"/>
        <v>3298.2046399999999</v>
      </c>
      <c r="S67" s="20">
        <f t="shared" si="10"/>
        <v>10367.748320000001</v>
      </c>
      <c r="T67" s="107">
        <f>(G68-G67)/G67</f>
        <v>1.5070565572911208</v>
      </c>
      <c r="U67" s="108">
        <f>(N68-N67)/N67</f>
        <v>1.5746119735055526</v>
      </c>
      <c r="V67" s="108">
        <f>(O68-O67)/O67</f>
        <v>1.6880379654065372</v>
      </c>
      <c r="W67" s="109">
        <f>(P68-P67)/P67</f>
        <v>1.6484083402209748</v>
      </c>
    </row>
    <row r="68" spans="1:23" ht="15" customHeight="1" x14ac:dyDescent="0.25">
      <c r="A68" s="110"/>
      <c r="B68" s="91">
        <v>100000000</v>
      </c>
      <c r="C68" s="91">
        <f t="shared" si="6"/>
        <v>1</v>
      </c>
      <c r="D68" s="110"/>
      <c r="E68" s="5" t="s">
        <v>66</v>
      </c>
      <c r="F68" s="19">
        <v>382.637</v>
      </c>
      <c r="G68" s="17">
        <f t="shared" si="7"/>
        <v>382.637</v>
      </c>
      <c r="H68" s="18">
        <v>3.85</v>
      </c>
      <c r="I68" s="18">
        <v>23.75</v>
      </c>
      <c r="J68" s="18">
        <v>175.21</v>
      </c>
      <c r="K68" s="19">
        <v>1473.15245</v>
      </c>
      <c r="L68" s="18">
        <v>9087.6287499999999</v>
      </c>
      <c r="M68" s="20">
        <v>67041.828770000007</v>
      </c>
      <c r="N68" s="19">
        <v>1312.4449100000002</v>
      </c>
      <c r="O68" s="18">
        <v>8865.6992900000005</v>
      </c>
      <c r="P68" s="20">
        <v>27458.031120000003</v>
      </c>
      <c r="Q68" s="19">
        <f t="shared" si="8"/>
        <v>1312.4449100000002</v>
      </c>
      <c r="R68" s="18">
        <f t="shared" si="9"/>
        <v>8865.6992900000005</v>
      </c>
      <c r="S68" s="20">
        <f t="shared" si="10"/>
        <v>27458.031120000003</v>
      </c>
      <c r="T68" s="107"/>
      <c r="U68" s="108"/>
      <c r="V68" s="108"/>
      <c r="W68" s="109"/>
    </row>
    <row r="69" spans="1:23" ht="15" customHeight="1" x14ac:dyDescent="0.25">
      <c r="A69" s="110"/>
      <c r="B69" s="91">
        <v>100000000</v>
      </c>
      <c r="C69" s="91">
        <f t="shared" si="6"/>
        <v>1</v>
      </c>
      <c r="D69" s="110" t="s">
        <v>62</v>
      </c>
      <c r="E69" s="6"/>
      <c r="F69" s="19">
        <v>317.87</v>
      </c>
      <c r="G69" s="17">
        <f t="shared" si="7"/>
        <v>317.87</v>
      </c>
      <c r="H69" s="18">
        <v>3.87</v>
      </c>
      <c r="I69" s="18">
        <v>22.81</v>
      </c>
      <c r="J69" s="18">
        <v>171.34</v>
      </c>
      <c r="K69" s="19">
        <v>1230.1569</v>
      </c>
      <c r="L69" s="18">
        <v>7250.6147000000001</v>
      </c>
      <c r="M69" s="20">
        <v>54463.845800000003</v>
      </c>
      <c r="N69" s="19">
        <v>1096.6515000000002</v>
      </c>
      <c r="O69" s="18">
        <v>7066.2501000000002</v>
      </c>
      <c r="P69" s="20">
        <v>21580.194299999999</v>
      </c>
      <c r="Q69" s="19">
        <f t="shared" si="8"/>
        <v>1096.6515000000002</v>
      </c>
      <c r="R69" s="18">
        <f t="shared" si="9"/>
        <v>7066.2501000000002</v>
      </c>
      <c r="S69" s="20">
        <f t="shared" si="10"/>
        <v>21580.194299999999</v>
      </c>
      <c r="T69" s="107">
        <f>(G70-G69)/G69</f>
        <v>0.29072576839588515</v>
      </c>
      <c r="U69" s="108">
        <f>(N70-N69)/N69</f>
        <v>0.1859712132796971</v>
      </c>
      <c r="V69" s="108">
        <f>(O70-O69)/O69</f>
        <v>0.35923932695221178</v>
      </c>
      <c r="W69" s="109">
        <f>(P70-P69)/P69</f>
        <v>0.35270494065940855</v>
      </c>
    </row>
    <row r="70" spans="1:23" ht="15" customHeight="1" x14ac:dyDescent="0.25">
      <c r="A70" s="110"/>
      <c r="B70" s="91">
        <v>100000000</v>
      </c>
      <c r="C70" s="91">
        <f t="shared" si="6"/>
        <v>1</v>
      </c>
      <c r="D70" s="110"/>
      <c r="E70" s="5" t="s">
        <v>66</v>
      </c>
      <c r="F70" s="19">
        <v>410.28300000000002</v>
      </c>
      <c r="G70" s="17">
        <f t="shared" si="7"/>
        <v>410.28300000000002</v>
      </c>
      <c r="H70" s="18">
        <v>3.59</v>
      </c>
      <c r="I70" s="18">
        <v>23.99</v>
      </c>
      <c r="J70" s="18">
        <v>174.59</v>
      </c>
      <c r="K70" s="19">
        <v>1472.91597</v>
      </c>
      <c r="L70" s="18">
        <v>9842.6891699999996</v>
      </c>
      <c r="M70" s="20">
        <v>71631.308969999998</v>
      </c>
      <c r="N70" s="19">
        <v>1300.5971099999999</v>
      </c>
      <c r="O70" s="18">
        <v>9604.7250299999996</v>
      </c>
      <c r="P70" s="20">
        <v>29191.635450000005</v>
      </c>
      <c r="Q70" s="19">
        <f t="shared" si="8"/>
        <v>1300.5971099999999</v>
      </c>
      <c r="R70" s="18">
        <f t="shared" si="9"/>
        <v>9604.7250299999996</v>
      </c>
      <c r="S70" s="20">
        <f t="shared" si="10"/>
        <v>29191.635450000005</v>
      </c>
      <c r="T70" s="107"/>
      <c r="U70" s="108"/>
      <c r="V70" s="108"/>
      <c r="W70" s="109"/>
    </row>
    <row r="71" spans="1:23" x14ac:dyDescent="0.25">
      <c r="A71" s="110" t="s">
        <v>25</v>
      </c>
      <c r="B71" s="91">
        <v>100000000</v>
      </c>
      <c r="C71" s="91">
        <f t="shared" si="6"/>
        <v>1</v>
      </c>
      <c r="D71" s="110" t="s">
        <v>59</v>
      </c>
      <c r="E71" s="6"/>
      <c r="F71" s="19">
        <v>9.5090000000000003</v>
      </c>
      <c r="G71" s="17">
        <f t="shared" si="7"/>
        <v>9.5090000000000003</v>
      </c>
      <c r="H71" s="18">
        <v>9.01</v>
      </c>
      <c r="I71" s="18">
        <v>35.82</v>
      </c>
      <c r="J71" s="18">
        <v>158.31</v>
      </c>
      <c r="K71" s="19">
        <v>85.676090000000002</v>
      </c>
      <c r="L71" s="18">
        <v>340.61238000000003</v>
      </c>
      <c r="M71" s="20">
        <v>1505.36979</v>
      </c>
      <c r="N71" s="19">
        <v>49.06644</v>
      </c>
      <c r="O71" s="18">
        <v>268.81943000000001</v>
      </c>
      <c r="P71" s="20">
        <v>559.12919999999997</v>
      </c>
      <c r="Q71" s="19">
        <f t="shared" si="8"/>
        <v>49.06644</v>
      </c>
      <c r="R71" s="18">
        <f t="shared" si="9"/>
        <v>268.81943000000001</v>
      </c>
      <c r="S71" s="20">
        <f t="shared" si="10"/>
        <v>559.12919999999997</v>
      </c>
      <c r="T71" s="107">
        <f>(G72-G71)/G71</f>
        <v>-0.55599957934588284</v>
      </c>
      <c r="U71" s="108">
        <f>(N72-N71)/N71</f>
        <v>-0.60762753523589641</v>
      </c>
      <c r="V71" s="108">
        <f>(O72-O71)/O71</f>
        <v>-0.59699148234932276</v>
      </c>
      <c r="W71" s="109">
        <f>(P72-P71)/P71</f>
        <v>-0.5669485693109928</v>
      </c>
    </row>
    <row r="72" spans="1:23" x14ac:dyDescent="0.25">
      <c r="A72" s="110"/>
      <c r="B72" s="91">
        <v>100000000</v>
      </c>
      <c r="C72" s="91">
        <f t="shared" si="6"/>
        <v>1</v>
      </c>
      <c r="D72" s="110"/>
      <c r="E72" s="5" t="s">
        <v>66</v>
      </c>
      <c r="F72" s="19">
        <v>4.2220000000000004</v>
      </c>
      <c r="G72" s="17">
        <f t="shared" si="7"/>
        <v>4.2220000000000004</v>
      </c>
      <c r="H72" s="18">
        <v>8.41</v>
      </c>
      <c r="I72" s="18">
        <v>33.21</v>
      </c>
      <c r="J72" s="18">
        <v>156.86000000000001</v>
      </c>
      <c r="K72" s="19">
        <v>35.507020000000004</v>
      </c>
      <c r="L72" s="18">
        <v>140.21262000000002</v>
      </c>
      <c r="M72" s="20">
        <v>662.26292000000012</v>
      </c>
      <c r="N72" s="19">
        <v>19.252320000000001</v>
      </c>
      <c r="O72" s="18">
        <v>108.33652000000001</v>
      </c>
      <c r="P72" s="20">
        <v>242.13170000000002</v>
      </c>
      <c r="Q72" s="19">
        <f t="shared" si="8"/>
        <v>19.252320000000001</v>
      </c>
      <c r="R72" s="18">
        <f t="shared" si="9"/>
        <v>108.33652000000001</v>
      </c>
      <c r="S72" s="20">
        <f t="shared" si="10"/>
        <v>242.13170000000002</v>
      </c>
      <c r="T72" s="107"/>
      <c r="U72" s="108"/>
      <c r="V72" s="108"/>
      <c r="W72" s="109"/>
    </row>
    <row r="73" spans="1:23" x14ac:dyDescent="0.25">
      <c r="A73" s="110"/>
      <c r="B73" s="91">
        <v>100000000</v>
      </c>
      <c r="C73" s="91">
        <f t="shared" si="6"/>
        <v>1</v>
      </c>
      <c r="D73" s="110" t="s">
        <v>62</v>
      </c>
      <c r="E73" s="6"/>
      <c r="F73" s="19">
        <v>8.5809999999999995</v>
      </c>
      <c r="G73" s="17">
        <f t="shared" si="7"/>
        <v>8.5809999999999995</v>
      </c>
      <c r="H73" s="18">
        <v>8.31</v>
      </c>
      <c r="I73" s="18">
        <v>34.340000000000003</v>
      </c>
      <c r="J73" s="18">
        <v>157.59</v>
      </c>
      <c r="K73" s="19">
        <v>71.308109999999999</v>
      </c>
      <c r="L73" s="18">
        <v>294.67153999999999</v>
      </c>
      <c r="M73" s="20">
        <v>1352.27979</v>
      </c>
      <c r="N73" s="19">
        <v>38.271259999999998</v>
      </c>
      <c r="O73" s="18">
        <v>229.88498999999999</v>
      </c>
      <c r="P73" s="20">
        <v>498.29866999999996</v>
      </c>
      <c r="Q73" s="19">
        <f t="shared" si="8"/>
        <v>38.271259999999998</v>
      </c>
      <c r="R73" s="18">
        <f t="shared" si="9"/>
        <v>229.88498999999999</v>
      </c>
      <c r="S73" s="20">
        <f t="shared" si="10"/>
        <v>498.29866999999996</v>
      </c>
      <c r="T73" s="107">
        <f>(G74-G73)/G73</f>
        <v>-0.40589674863069569</v>
      </c>
      <c r="U73" s="108">
        <f>(N74-N73)/N73</f>
        <v>-0.40989295884170002</v>
      </c>
      <c r="V73" s="108">
        <f>(O74-O73)/O73</f>
        <v>-0.41099729912770733</v>
      </c>
      <c r="W73" s="109">
        <f>(P74-P73)/P73</f>
        <v>-0.39014129818969812</v>
      </c>
    </row>
    <row r="74" spans="1:23" x14ac:dyDescent="0.25">
      <c r="A74" s="110"/>
      <c r="B74" s="91">
        <v>100000000</v>
      </c>
      <c r="C74" s="91">
        <f t="shared" si="6"/>
        <v>1</v>
      </c>
      <c r="D74" s="110"/>
      <c r="E74" s="5" t="s">
        <v>66</v>
      </c>
      <c r="F74" s="19">
        <v>5.0979999999999999</v>
      </c>
      <c r="G74" s="17">
        <f t="shared" si="7"/>
        <v>5.0979999999999999</v>
      </c>
      <c r="H74" s="18">
        <v>8.2799999999999994</v>
      </c>
      <c r="I74" s="18">
        <v>34.11</v>
      </c>
      <c r="J74" s="18">
        <v>159.12</v>
      </c>
      <c r="K74" s="19">
        <v>42.211439999999996</v>
      </c>
      <c r="L74" s="18">
        <v>173.89277999999999</v>
      </c>
      <c r="M74" s="20">
        <v>811.19376</v>
      </c>
      <c r="N74" s="19">
        <v>22.584139999999998</v>
      </c>
      <c r="O74" s="18">
        <v>135.40287999999998</v>
      </c>
      <c r="P74" s="20">
        <v>303.89177999999998</v>
      </c>
      <c r="Q74" s="19">
        <f t="shared" si="8"/>
        <v>22.584139999999998</v>
      </c>
      <c r="R74" s="18">
        <f t="shared" si="9"/>
        <v>135.40287999999998</v>
      </c>
      <c r="S74" s="20">
        <f t="shared" si="10"/>
        <v>303.89177999999998</v>
      </c>
      <c r="T74" s="107"/>
      <c r="U74" s="108"/>
      <c r="V74" s="108"/>
      <c r="W74" s="109"/>
    </row>
    <row r="75" spans="1:23" x14ac:dyDescent="0.25">
      <c r="A75" s="110" t="s">
        <v>26</v>
      </c>
      <c r="B75" s="91">
        <v>100000000</v>
      </c>
      <c r="C75" s="91">
        <f t="shared" si="6"/>
        <v>1</v>
      </c>
      <c r="D75" s="110" t="s">
        <v>59</v>
      </c>
      <c r="E75" s="6"/>
      <c r="F75" s="19">
        <v>9.9280000000000008</v>
      </c>
      <c r="G75" s="17">
        <f t="shared" si="7"/>
        <v>9.9280000000000008</v>
      </c>
      <c r="H75" s="18">
        <v>9.44</v>
      </c>
      <c r="I75" s="18">
        <v>38.31</v>
      </c>
      <c r="J75" s="18">
        <v>161.43</v>
      </c>
      <c r="K75" s="19">
        <v>93.720320000000001</v>
      </c>
      <c r="L75" s="18">
        <v>380.34168000000005</v>
      </c>
      <c r="M75" s="20">
        <v>1602.6770400000003</v>
      </c>
      <c r="N75" s="19">
        <v>44.775280000000002</v>
      </c>
      <c r="O75" s="18">
        <v>299.62704000000002</v>
      </c>
      <c r="P75" s="20">
        <v>609.18208000000004</v>
      </c>
      <c r="Q75" s="19">
        <f t="shared" si="8"/>
        <v>44.775280000000002</v>
      </c>
      <c r="R75" s="18">
        <f t="shared" si="9"/>
        <v>299.62704000000002</v>
      </c>
      <c r="S75" s="20">
        <f t="shared" si="10"/>
        <v>609.18208000000004</v>
      </c>
      <c r="T75" s="107">
        <f t="shared" ref="T75" si="11">(G76-G75)/G75</f>
        <v>-0.42334810636583409</v>
      </c>
      <c r="U75" s="108">
        <f t="shared" ref="U75:W75" si="12">(N76-N75)/N75</f>
        <v>-0.38115406536821222</v>
      </c>
      <c r="V75" s="108">
        <f t="shared" si="12"/>
        <v>-0.46232656438484332</v>
      </c>
      <c r="W75" s="109">
        <f t="shared" si="12"/>
        <v>-0.44214380042170653</v>
      </c>
    </row>
    <row r="76" spans="1:23" x14ac:dyDescent="0.25">
      <c r="A76" s="110"/>
      <c r="B76" s="91">
        <v>100000000</v>
      </c>
      <c r="C76" s="91">
        <f t="shared" si="6"/>
        <v>1</v>
      </c>
      <c r="D76" s="110"/>
      <c r="E76" s="5" t="s">
        <v>66</v>
      </c>
      <c r="F76" s="19">
        <v>5.7249999999999996</v>
      </c>
      <c r="G76" s="17">
        <f t="shared" si="7"/>
        <v>5.7249999999999996</v>
      </c>
      <c r="H76" s="18">
        <v>9.77</v>
      </c>
      <c r="I76" s="18">
        <v>36.270000000000003</v>
      </c>
      <c r="J76" s="18">
        <v>159.43</v>
      </c>
      <c r="K76" s="19">
        <v>55.933249999999994</v>
      </c>
      <c r="L76" s="18">
        <v>207.64574999999999</v>
      </c>
      <c r="M76" s="20">
        <v>912.73675000000003</v>
      </c>
      <c r="N76" s="19">
        <v>27.708999999999996</v>
      </c>
      <c r="O76" s="18">
        <v>161.10149999999999</v>
      </c>
      <c r="P76" s="20">
        <v>339.83599999999996</v>
      </c>
      <c r="Q76" s="19">
        <f t="shared" si="8"/>
        <v>27.708999999999996</v>
      </c>
      <c r="R76" s="18">
        <f t="shared" si="9"/>
        <v>161.10149999999999</v>
      </c>
      <c r="S76" s="20">
        <f t="shared" si="10"/>
        <v>339.83599999999996</v>
      </c>
      <c r="T76" s="107"/>
      <c r="U76" s="108"/>
      <c r="V76" s="108"/>
      <c r="W76" s="109"/>
    </row>
    <row r="77" spans="1:23" x14ac:dyDescent="0.25">
      <c r="A77" s="110"/>
      <c r="B77" s="91">
        <v>100000000</v>
      </c>
      <c r="C77" s="91">
        <f t="shared" si="6"/>
        <v>1</v>
      </c>
      <c r="D77" s="110" t="s">
        <v>62</v>
      </c>
      <c r="E77" s="6"/>
      <c r="F77" s="19">
        <v>9.5310000000000006</v>
      </c>
      <c r="G77" s="17">
        <f t="shared" si="7"/>
        <v>9.5310000000000006</v>
      </c>
      <c r="H77" s="18">
        <v>9.5500000000000007</v>
      </c>
      <c r="I77" s="18">
        <v>37.9</v>
      </c>
      <c r="J77" s="18">
        <v>162.91</v>
      </c>
      <c r="K77" s="19">
        <v>91.021050000000017</v>
      </c>
      <c r="L77" s="18">
        <v>361.22489999999999</v>
      </c>
      <c r="M77" s="20">
        <v>1552.6952100000001</v>
      </c>
      <c r="N77" s="19">
        <v>44.033220000000007</v>
      </c>
      <c r="O77" s="18">
        <v>283.73786999999999</v>
      </c>
      <c r="P77" s="20">
        <v>598.92804000000012</v>
      </c>
      <c r="Q77" s="19">
        <f t="shared" si="8"/>
        <v>44.033220000000007</v>
      </c>
      <c r="R77" s="18">
        <f t="shared" si="9"/>
        <v>283.73786999999999</v>
      </c>
      <c r="S77" s="20">
        <f t="shared" si="10"/>
        <v>598.92804000000012</v>
      </c>
      <c r="T77" s="107">
        <f t="shared" ref="T77" si="13">(G78-G77)/G77</f>
        <v>-0.42104710943237861</v>
      </c>
      <c r="U77" s="108">
        <f t="shared" ref="U77:W77" si="14">(N78-N77)/N77</f>
        <v>-0.42856597814104913</v>
      </c>
      <c r="V77" s="108">
        <f t="shared" si="14"/>
        <v>-0.45371895545702096</v>
      </c>
      <c r="W77" s="109">
        <f t="shared" si="14"/>
        <v>-0.45338518463754029</v>
      </c>
    </row>
    <row r="78" spans="1:23" x14ac:dyDescent="0.25">
      <c r="A78" s="110"/>
      <c r="B78" s="91">
        <v>100000000</v>
      </c>
      <c r="C78" s="91">
        <f t="shared" si="6"/>
        <v>1</v>
      </c>
      <c r="D78" s="110"/>
      <c r="E78" s="5" t="s">
        <v>66</v>
      </c>
      <c r="F78" s="19">
        <v>5.5179999999999998</v>
      </c>
      <c r="G78" s="17">
        <f t="shared" si="7"/>
        <v>5.5179999999999998</v>
      </c>
      <c r="H78" s="18">
        <v>9.49</v>
      </c>
      <c r="I78" s="18">
        <v>36.22</v>
      </c>
      <c r="J78" s="18">
        <v>159.41</v>
      </c>
      <c r="K78" s="19">
        <v>52.365819999999999</v>
      </c>
      <c r="L78" s="18">
        <v>199.86195999999998</v>
      </c>
      <c r="M78" s="20">
        <v>879.62437999999997</v>
      </c>
      <c r="N78" s="19">
        <v>25.162079999999996</v>
      </c>
      <c r="O78" s="18">
        <v>155.00062</v>
      </c>
      <c r="P78" s="20">
        <v>327.38293999999996</v>
      </c>
      <c r="Q78" s="19">
        <f t="shared" si="8"/>
        <v>25.162079999999996</v>
      </c>
      <c r="R78" s="18">
        <f t="shared" si="9"/>
        <v>155.00062</v>
      </c>
      <c r="S78" s="20">
        <f t="shared" si="10"/>
        <v>327.38293999999996</v>
      </c>
      <c r="T78" s="107"/>
      <c r="U78" s="108"/>
      <c r="V78" s="108"/>
      <c r="W78" s="109"/>
    </row>
    <row r="79" spans="1:23" x14ac:dyDescent="0.25">
      <c r="A79" s="110" t="s">
        <v>29</v>
      </c>
      <c r="B79" s="91">
        <v>100000000</v>
      </c>
      <c r="C79" s="91">
        <f t="shared" si="6"/>
        <v>1</v>
      </c>
      <c r="D79" s="110" t="s">
        <v>59</v>
      </c>
      <c r="E79" s="6"/>
      <c r="F79" s="19">
        <v>72.715999999999994</v>
      </c>
      <c r="G79" s="17">
        <f t="shared" si="7"/>
        <v>72.715999999999994</v>
      </c>
      <c r="H79" s="18">
        <v>7.98</v>
      </c>
      <c r="I79" s="18">
        <v>36.909999999999997</v>
      </c>
      <c r="J79" s="18">
        <v>162.15</v>
      </c>
      <c r="K79" s="19">
        <v>580.27368000000001</v>
      </c>
      <c r="L79" s="18">
        <v>2683.9475599999996</v>
      </c>
      <c r="M79" s="20">
        <v>11790.8994</v>
      </c>
      <c r="N79" s="19">
        <v>318.49607999999995</v>
      </c>
      <c r="O79" s="18">
        <v>2177.1170400000001</v>
      </c>
      <c r="P79" s="20">
        <v>4559.2932000000001</v>
      </c>
      <c r="Q79" s="19">
        <f t="shared" si="8"/>
        <v>318.49607999999995</v>
      </c>
      <c r="R79" s="18">
        <f t="shared" si="9"/>
        <v>2177.1170400000001</v>
      </c>
      <c r="S79" s="20">
        <f t="shared" si="10"/>
        <v>4559.2932000000001</v>
      </c>
      <c r="T79" s="107">
        <f t="shared" ref="T79" si="15">(G80-G79)/G79</f>
        <v>-0.31639529127014676</v>
      </c>
      <c r="U79" s="108">
        <f t="shared" ref="U79:W79" si="16">(N80-N79)/N79</f>
        <v>-0.30859158454948632</v>
      </c>
      <c r="V79" s="108">
        <f t="shared" si="16"/>
        <v>-0.34676250111018375</v>
      </c>
      <c r="W79" s="109">
        <f t="shared" si="16"/>
        <v>-0.34092656072217509</v>
      </c>
    </row>
    <row r="80" spans="1:23" x14ac:dyDescent="0.25">
      <c r="A80" s="110"/>
      <c r="B80" s="91">
        <v>100000000</v>
      </c>
      <c r="C80" s="91">
        <f t="shared" si="6"/>
        <v>1</v>
      </c>
      <c r="D80" s="110"/>
      <c r="E80" s="5" t="s">
        <v>66</v>
      </c>
      <c r="F80" s="19">
        <v>49.709000000000003</v>
      </c>
      <c r="G80" s="17">
        <f t="shared" si="7"/>
        <v>49.709000000000003</v>
      </c>
      <c r="H80" s="18">
        <v>8.0299999999999994</v>
      </c>
      <c r="I80" s="18">
        <v>35.58</v>
      </c>
      <c r="J80" s="18">
        <v>159.9</v>
      </c>
      <c r="K80" s="19">
        <v>399.16327000000001</v>
      </c>
      <c r="L80" s="18">
        <v>1768.6462200000001</v>
      </c>
      <c r="M80" s="20">
        <v>7948.4691000000012</v>
      </c>
      <c r="N80" s="19">
        <v>220.21087</v>
      </c>
      <c r="O80" s="18">
        <v>1422.1744900000001</v>
      </c>
      <c r="P80" s="20">
        <v>3004.9090500000002</v>
      </c>
      <c r="Q80" s="19">
        <f t="shared" si="8"/>
        <v>220.21087</v>
      </c>
      <c r="R80" s="18">
        <f t="shared" si="9"/>
        <v>1422.1744900000001</v>
      </c>
      <c r="S80" s="20">
        <f t="shared" si="10"/>
        <v>3004.9090500000002</v>
      </c>
      <c r="T80" s="107"/>
      <c r="U80" s="108"/>
      <c r="V80" s="108"/>
      <c r="W80" s="109"/>
    </row>
    <row r="81" spans="1:23" x14ac:dyDescent="0.25">
      <c r="A81" s="110"/>
      <c r="B81" s="91">
        <v>100000000</v>
      </c>
      <c r="C81" s="91">
        <f t="shared" si="6"/>
        <v>1</v>
      </c>
      <c r="D81" s="110" t="s">
        <v>62</v>
      </c>
      <c r="E81" s="6"/>
      <c r="F81" s="19">
        <v>62.704999999999998</v>
      </c>
      <c r="G81" s="17">
        <f t="shared" si="7"/>
        <v>62.704999999999998</v>
      </c>
      <c r="H81" s="18">
        <v>8.02</v>
      </c>
      <c r="I81" s="18">
        <v>36.630000000000003</v>
      </c>
      <c r="J81" s="18">
        <v>161</v>
      </c>
      <c r="K81" s="19">
        <v>502.89409999999998</v>
      </c>
      <c r="L81" s="18">
        <v>2296.8841500000003</v>
      </c>
      <c r="M81" s="20">
        <v>10095.504999999999</v>
      </c>
      <c r="N81" s="19">
        <v>277.15609999999998</v>
      </c>
      <c r="O81" s="18">
        <v>1859.8302999999999</v>
      </c>
      <c r="P81" s="20">
        <v>3859.4927499999999</v>
      </c>
      <c r="Q81" s="19">
        <f t="shared" si="8"/>
        <v>277.15609999999998</v>
      </c>
      <c r="R81" s="18">
        <f t="shared" si="9"/>
        <v>1859.8302999999999</v>
      </c>
      <c r="S81" s="20">
        <f t="shared" si="10"/>
        <v>3859.4927499999999</v>
      </c>
      <c r="T81" s="107">
        <f t="shared" ref="T81" si="17">(G82-G81)/G81</f>
        <v>-0.20982377800813326</v>
      </c>
      <c r="U81" s="108">
        <f t="shared" ref="U81:W81" si="18">(N82-N81)/N81</f>
        <v>-0.22233788107135294</v>
      </c>
      <c r="V81" s="108">
        <f t="shared" si="18"/>
        <v>-0.24445726042854549</v>
      </c>
      <c r="W81" s="109">
        <f t="shared" si="18"/>
        <v>-0.23806728228729018</v>
      </c>
    </row>
    <row r="82" spans="1:23" x14ac:dyDescent="0.25">
      <c r="A82" s="110"/>
      <c r="B82" s="91">
        <v>100000000</v>
      </c>
      <c r="C82" s="91">
        <f t="shared" si="6"/>
        <v>1</v>
      </c>
      <c r="D82" s="110"/>
      <c r="E82" s="5" t="s">
        <v>66</v>
      </c>
      <c r="F82" s="19">
        <v>49.548000000000002</v>
      </c>
      <c r="G82" s="17">
        <f t="shared" si="7"/>
        <v>49.548000000000002</v>
      </c>
      <c r="H82" s="18">
        <v>7.95</v>
      </c>
      <c r="I82" s="18">
        <v>35.33</v>
      </c>
      <c r="J82" s="18">
        <v>158.80000000000001</v>
      </c>
      <c r="K82" s="19">
        <v>393.90660000000003</v>
      </c>
      <c r="L82" s="18">
        <v>1750.5308399999999</v>
      </c>
      <c r="M82" s="20">
        <v>7868.2224000000006</v>
      </c>
      <c r="N82" s="19">
        <v>215.53379999999999</v>
      </c>
      <c r="O82" s="18">
        <v>1405.18128</v>
      </c>
      <c r="P82" s="20">
        <v>2940.6738</v>
      </c>
      <c r="Q82" s="19">
        <f t="shared" si="8"/>
        <v>215.53379999999999</v>
      </c>
      <c r="R82" s="18">
        <f t="shared" si="9"/>
        <v>1405.18128</v>
      </c>
      <c r="S82" s="20">
        <f t="shared" si="10"/>
        <v>2940.6738</v>
      </c>
      <c r="T82" s="107"/>
      <c r="U82" s="108"/>
      <c r="V82" s="108"/>
      <c r="W82" s="109"/>
    </row>
    <row r="83" spans="1:23" x14ac:dyDescent="0.25">
      <c r="A83" s="110" t="s">
        <v>33</v>
      </c>
      <c r="B83" s="91">
        <v>100000000</v>
      </c>
      <c r="C83" s="91">
        <f t="shared" si="6"/>
        <v>1</v>
      </c>
      <c r="D83" s="110" t="s">
        <v>59</v>
      </c>
      <c r="E83" s="6"/>
      <c r="F83" s="19">
        <v>201.61799999999999</v>
      </c>
      <c r="G83" s="17">
        <f t="shared" si="7"/>
        <v>201.61799999999999</v>
      </c>
      <c r="H83" s="18">
        <v>6.73</v>
      </c>
      <c r="I83" s="18">
        <v>35.159999999999997</v>
      </c>
      <c r="J83" s="18">
        <v>156.56</v>
      </c>
      <c r="K83" s="19">
        <v>1356.88914</v>
      </c>
      <c r="L83" s="18">
        <v>7088.8888799999995</v>
      </c>
      <c r="M83" s="20">
        <v>31565.31408</v>
      </c>
      <c r="N83" s="19">
        <v>1054.4621400000001</v>
      </c>
      <c r="O83" s="18">
        <v>6385.2420600000005</v>
      </c>
      <c r="P83" s="20">
        <v>12280.552379999999</v>
      </c>
      <c r="Q83" s="19">
        <f t="shared" si="8"/>
        <v>1054.4621400000001</v>
      </c>
      <c r="R83" s="18">
        <f t="shared" si="9"/>
        <v>6385.2420600000005</v>
      </c>
      <c r="S83" s="20">
        <f t="shared" si="10"/>
        <v>12280.552379999999</v>
      </c>
      <c r="T83" s="107">
        <f t="shared" ref="T83" si="19">(G84-G83)/G83</f>
        <v>-0.23240980468013772</v>
      </c>
      <c r="U83" s="108">
        <f>(N84-N83)/N83</f>
        <v>-0.26029549055217871</v>
      </c>
      <c r="V83" s="108">
        <f>(O84-O83)/O83</f>
        <v>-0.2488910592686287</v>
      </c>
      <c r="W83" s="109">
        <f>(P84-P83)/P83</f>
        <v>-0.24576796601717674</v>
      </c>
    </row>
    <row r="84" spans="1:23" x14ac:dyDescent="0.25">
      <c r="A84" s="110"/>
      <c r="B84" s="91">
        <v>100000000</v>
      </c>
      <c r="C84" s="91">
        <f t="shared" si="6"/>
        <v>1</v>
      </c>
      <c r="D84" s="110"/>
      <c r="E84" s="5" t="s">
        <v>66</v>
      </c>
      <c r="F84" s="19">
        <v>154.76</v>
      </c>
      <c r="G84" s="17">
        <f t="shared" si="7"/>
        <v>154.76</v>
      </c>
      <c r="H84" s="18">
        <v>6.54</v>
      </c>
      <c r="I84" s="18">
        <v>34.49</v>
      </c>
      <c r="J84" s="18">
        <v>155.5</v>
      </c>
      <c r="K84" s="19">
        <v>1012.1303999999999</v>
      </c>
      <c r="L84" s="18">
        <v>5337.6724000000004</v>
      </c>
      <c r="M84" s="20">
        <v>24065.18</v>
      </c>
      <c r="N84" s="19">
        <v>779.99039999999991</v>
      </c>
      <c r="O84" s="18">
        <v>4796.0123999999996</v>
      </c>
      <c r="P84" s="20">
        <v>9262.3860000000004</v>
      </c>
      <c r="Q84" s="19">
        <f t="shared" si="8"/>
        <v>779.99039999999991</v>
      </c>
      <c r="R84" s="18">
        <f t="shared" si="9"/>
        <v>4796.0123999999996</v>
      </c>
      <c r="S84" s="20">
        <f t="shared" si="10"/>
        <v>9262.3860000000004</v>
      </c>
      <c r="T84" s="107"/>
      <c r="U84" s="108"/>
      <c r="V84" s="108"/>
      <c r="W84" s="109"/>
    </row>
    <row r="85" spans="1:23" x14ac:dyDescent="0.25">
      <c r="A85" s="110"/>
      <c r="B85" s="91">
        <v>100000000</v>
      </c>
      <c r="C85" s="91">
        <f t="shared" si="6"/>
        <v>1</v>
      </c>
      <c r="D85" s="110" t="s">
        <v>62</v>
      </c>
      <c r="E85" s="6"/>
      <c r="F85" s="19">
        <v>132.36500000000001</v>
      </c>
      <c r="G85" s="17">
        <f t="shared" si="7"/>
        <v>132.36500000000001</v>
      </c>
      <c r="H85" s="18">
        <v>6.15</v>
      </c>
      <c r="I85" s="18">
        <v>33.549999999999997</v>
      </c>
      <c r="J85" s="18">
        <v>155.69999999999999</v>
      </c>
      <c r="K85" s="19">
        <v>814.04475000000014</v>
      </c>
      <c r="L85" s="18">
        <v>4440.8457499999995</v>
      </c>
      <c r="M85" s="20">
        <v>20609.230500000001</v>
      </c>
      <c r="N85" s="19">
        <v>615.49725000000012</v>
      </c>
      <c r="O85" s="18">
        <v>3978.8919000000001</v>
      </c>
      <c r="P85" s="20">
        <v>7948.5182500000001</v>
      </c>
      <c r="Q85" s="19">
        <f t="shared" si="8"/>
        <v>615.49725000000012</v>
      </c>
      <c r="R85" s="18">
        <f t="shared" si="9"/>
        <v>3978.8919000000001</v>
      </c>
      <c r="S85" s="20">
        <f t="shared" si="10"/>
        <v>7948.5182500000001</v>
      </c>
      <c r="T85" s="107">
        <f t="shared" ref="T85" si="20">(G86-G85)/G85</f>
        <v>0.13419710648585334</v>
      </c>
      <c r="U85" s="108">
        <f>(N86-N85)/N85</f>
        <v>-3.6542242877608565E-2</v>
      </c>
      <c r="V85" s="108">
        <f>(O86-O85)/O85</f>
        <v>0.11269037492574235</v>
      </c>
      <c r="W85" s="109">
        <f>(P86-P85)/P85</f>
        <v>0.14722951287178579</v>
      </c>
    </row>
    <row r="86" spans="1:23" x14ac:dyDescent="0.25">
      <c r="A86" s="110"/>
      <c r="B86" s="91">
        <v>100000000</v>
      </c>
      <c r="C86" s="91">
        <f t="shared" si="6"/>
        <v>1</v>
      </c>
      <c r="D86" s="110"/>
      <c r="E86" s="5" t="s">
        <v>66</v>
      </c>
      <c r="F86" s="19">
        <v>150.12799999999999</v>
      </c>
      <c r="G86" s="17">
        <f t="shared" si="7"/>
        <v>150.12799999999999</v>
      </c>
      <c r="H86" s="18">
        <v>5.45</v>
      </c>
      <c r="I86" s="18">
        <v>32.979999999999997</v>
      </c>
      <c r="J86" s="18">
        <v>156.38999999999999</v>
      </c>
      <c r="K86" s="19">
        <v>818.19759999999997</v>
      </c>
      <c r="L86" s="18">
        <v>4951.2214399999993</v>
      </c>
      <c r="M86" s="20">
        <v>23478.517919999995</v>
      </c>
      <c r="N86" s="19">
        <v>593.00559999999996</v>
      </c>
      <c r="O86" s="18">
        <v>4427.2747199999994</v>
      </c>
      <c r="P86" s="20">
        <v>9118.7747199999994</v>
      </c>
      <c r="Q86" s="19">
        <f t="shared" si="8"/>
        <v>593.00559999999996</v>
      </c>
      <c r="R86" s="18">
        <f t="shared" si="9"/>
        <v>4427.2747199999994</v>
      </c>
      <c r="S86" s="20">
        <f t="shared" si="10"/>
        <v>9118.7747199999994</v>
      </c>
      <c r="T86" s="107"/>
      <c r="U86" s="108"/>
      <c r="V86" s="108"/>
      <c r="W86" s="109"/>
    </row>
    <row r="87" spans="1:23" x14ac:dyDescent="0.25">
      <c r="A87" s="110" t="s">
        <v>37</v>
      </c>
      <c r="B87" s="91">
        <v>100000000</v>
      </c>
      <c r="C87" s="91">
        <f t="shared" si="6"/>
        <v>1</v>
      </c>
      <c r="D87" s="110" t="s">
        <v>59</v>
      </c>
      <c r="E87" s="6"/>
      <c r="F87" s="19">
        <v>6.0030000000000001</v>
      </c>
      <c r="G87" s="17">
        <f t="shared" si="7"/>
        <v>6.0030000000000001</v>
      </c>
      <c r="H87" s="18">
        <v>7.22</v>
      </c>
      <c r="I87" s="18">
        <v>33.15</v>
      </c>
      <c r="J87" s="18">
        <v>158.03</v>
      </c>
      <c r="K87" s="19">
        <v>43.341659999999997</v>
      </c>
      <c r="L87" s="18">
        <v>198.99945</v>
      </c>
      <c r="M87" s="20">
        <v>948.65409</v>
      </c>
      <c r="N87" s="19">
        <v>22.211100000000002</v>
      </c>
      <c r="O87" s="18">
        <v>167.60376000000002</v>
      </c>
      <c r="P87" s="20">
        <v>351.29556000000002</v>
      </c>
      <c r="Q87" s="19">
        <f t="shared" si="8"/>
        <v>22.211100000000002</v>
      </c>
      <c r="R87" s="18">
        <f t="shared" si="9"/>
        <v>167.60376000000002</v>
      </c>
      <c r="S87" s="20">
        <f t="shared" si="10"/>
        <v>351.29556000000002</v>
      </c>
      <c r="T87" s="107">
        <f t="shared" ref="T87" si="21">(G88-G87)/G87</f>
        <v>-0.56704980842911878</v>
      </c>
      <c r="U87" s="108">
        <f t="shared" ref="U87:W87" si="22">(N88-N87)/N87</f>
        <v>-0.5611991301646474</v>
      </c>
      <c r="V87" s="108">
        <f t="shared" si="22"/>
        <v>-0.62364967229852131</v>
      </c>
      <c r="W87" s="109">
        <f t="shared" si="22"/>
        <v>-0.59139030962987416</v>
      </c>
    </row>
    <row r="88" spans="1:23" x14ac:dyDescent="0.25">
      <c r="A88" s="110"/>
      <c r="B88" s="91">
        <v>100000000</v>
      </c>
      <c r="C88" s="91">
        <f t="shared" si="6"/>
        <v>1</v>
      </c>
      <c r="D88" s="110"/>
      <c r="E88" s="5" t="s">
        <v>66</v>
      </c>
      <c r="F88" s="19">
        <v>2.5990000000000002</v>
      </c>
      <c r="G88" s="17">
        <f t="shared" si="7"/>
        <v>2.5990000000000002</v>
      </c>
      <c r="H88" s="18">
        <v>7.27</v>
      </c>
      <c r="I88" s="18">
        <v>29.5</v>
      </c>
      <c r="J88" s="18">
        <v>154.75</v>
      </c>
      <c r="K88" s="19">
        <v>18.894729999999999</v>
      </c>
      <c r="L88" s="18">
        <v>76.670500000000004</v>
      </c>
      <c r="M88" s="20">
        <v>402.19525000000004</v>
      </c>
      <c r="N88" s="19">
        <v>9.7462499999999999</v>
      </c>
      <c r="O88" s="18">
        <v>63.077730000000003</v>
      </c>
      <c r="P88" s="20">
        <v>143.54276999999999</v>
      </c>
      <c r="Q88" s="19">
        <f t="shared" si="8"/>
        <v>9.7462499999999999</v>
      </c>
      <c r="R88" s="18">
        <f t="shared" si="9"/>
        <v>63.077730000000003</v>
      </c>
      <c r="S88" s="20">
        <f t="shared" si="10"/>
        <v>143.54276999999999</v>
      </c>
      <c r="T88" s="107"/>
      <c r="U88" s="108"/>
      <c r="V88" s="108"/>
      <c r="W88" s="109"/>
    </row>
    <row r="89" spans="1:23" x14ac:dyDescent="0.25">
      <c r="A89" s="110"/>
      <c r="B89" s="91">
        <v>100000000</v>
      </c>
      <c r="C89" s="91">
        <f t="shared" si="6"/>
        <v>1</v>
      </c>
      <c r="D89" s="110" t="s">
        <v>62</v>
      </c>
      <c r="E89" s="6"/>
      <c r="F89" s="19">
        <v>6.0810000000000004</v>
      </c>
      <c r="G89" s="17">
        <f t="shared" si="7"/>
        <v>6.0810000000000004</v>
      </c>
      <c r="H89" s="18">
        <v>7.67</v>
      </c>
      <c r="I89" s="18">
        <v>33.76</v>
      </c>
      <c r="J89" s="18">
        <v>159.71</v>
      </c>
      <c r="K89" s="19">
        <v>46.641270000000006</v>
      </c>
      <c r="L89" s="18">
        <v>205.29455999999999</v>
      </c>
      <c r="M89" s="20">
        <v>971.1965100000001</v>
      </c>
      <c r="N89" s="19">
        <v>25.236150000000002</v>
      </c>
      <c r="O89" s="18">
        <v>173.49093000000002</v>
      </c>
      <c r="P89" s="20">
        <v>366.01539000000002</v>
      </c>
      <c r="Q89" s="19">
        <f t="shared" si="8"/>
        <v>25.236150000000002</v>
      </c>
      <c r="R89" s="18">
        <f t="shared" si="9"/>
        <v>173.49093000000002</v>
      </c>
      <c r="S89" s="20">
        <f t="shared" si="10"/>
        <v>366.01539000000002</v>
      </c>
      <c r="T89" s="107">
        <f t="shared" ref="T89" si="23">(G90-G89)/G89</f>
        <v>-0.57654990955434959</v>
      </c>
      <c r="U89" s="108">
        <f t="shared" ref="U89:W89" si="24">(N90-N89)/N89</f>
        <v>-0.55818339960730934</v>
      </c>
      <c r="V89" s="108">
        <f t="shared" si="24"/>
        <v>-0.62760733370903021</v>
      </c>
      <c r="W89" s="109">
        <f t="shared" si="24"/>
        <v>-0.61608786450209108</v>
      </c>
    </row>
    <row r="90" spans="1:23" x14ac:dyDescent="0.25">
      <c r="A90" s="110"/>
      <c r="B90" s="91">
        <v>100000000</v>
      </c>
      <c r="C90" s="91">
        <f t="shared" si="6"/>
        <v>1</v>
      </c>
      <c r="D90" s="110"/>
      <c r="E90" s="5" t="s">
        <v>66</v>
      </c>
      <c r="F90" s="19">
        <v>2.5750000000000002</v>
      </c>
      <c r="G90" s="17">
        <f t="shared" si="7"/>
        <v>2.5750000000000002</v>
      </c>
      <c r="H90" s="18">
        <v>7.85</v>
      </c>
      <c r="I90" s="18">
        <v>30.32</v>
      </c>
      <c r="J90" s="18">
        <v>154.09</v>
      </c>
      <c r="K90" s="19">
        <v>20.213750000000001</v>
      </c>
      <c r="L90" s="18">
        <v>78.074000000000012</v>
      </c>
      <c r="M90" s="20">
        <v>396.78175000000005</v>
      </c>
      <c r="N90" s="19">
        <v>11.149750000000001</v>
      </c>
      <c r="O90" s="18">
        <v>64.606750000000005</v>
      </c>
      <c r="P90" s="20">
        <v>140.51775000000001</v>
      </c>
      <c r="Q90" s="19">
        <f t="shared" si="8"/>
        <v>11.149750000000001</v>
      </c>
      <c r="R90" s="18">
        <f t="shared" si="9"/>
        <v>64.606750000000005</v>
      </c>
      <c r="S90" s="20">
        <f t="shared" si="10"/>
        <v>140.51775000000001</v>
      </c>
      <c r="T90" s="107"/>
      <c r="U90" s="108"/>
      <c r="V90" s="108"/>
      <c r="W90" s="109"/>
    </row>
    <row r="91" spans="1:23" x14ac:dyDescent="0.25">
      <c r="A91" s="110" t="s">
        <v>39</v>
      </c>
      <c r="B91" s="91">
        <v>100000000</v>
      </c>
      <c r="C91" s="91">
        <f t="shared" si="6"/>
        <v>1</v>
      </c>
      <c r="D91" s="110" t="s">
        <v>59</v>
      </c>
      <c r="E91" s="6"/>
      <c r="F91" s="19">
        <v>91.29</v>
      </c>
      <c r="G91" s="17">
        <f t="shared" si="7"/>
        <v>91.29</v>
      </c>
      <c r="H91" s="18">
        <v>6.73</v>
      </c>
      <c r="I91" s="18">
        <v>35.53</v>
      </c>
      <c r="J91" s="18">
        <v>166.11</v>
      </c>
      <c r="K91" s="19">
        <v>614.38170000000014</v>
      </c>
      <c r="L91" s="18">
        <v>3243.5337000000004</v>
      </c>
      <c r="M91" s="20">
        <v>15164.181900000001</v>
      </c>
      <c r="N91" s="19">
        <v>415.36950000000002</v>
      </c>
      <c r="O91" s="18">
        <v>2766.9999000000003</v>
      </c>
      <c r="P91" s="20">
        <v>5814.2601000000004</v>
      </c>
      <c r="Q91" s="19">
        <f t="shared" si="8"/>
        <v>415.36950000000002</v>
      </c>
      <c r="R91" s="18">
        <f t="shared" si="9"/>
        <v>2766.9999000000003</v>
      </c>
      <c r="S91" s="20">
        <f t="shared" si="10"/>
        <v>5814.2601000000004</v>
      </c>
      <c r="T91" s="107">
        <f t="shared" ref="T91" si="25">(G92-G91)/G91</f>
        <v>-0.14480227845328084</v>
      </c>
      <c r="U91" s="108">
        <f t="shared" ref="U91:W91" si="26">(N92-N91)/N91</f>
        <v>-0.13164539042948512</v>
      </c>
      <c r="V91" s="108">
        <f t="shared" si="26"/>
        <v>-0.11404788991860833</v>
      </c>
      <c r="W91" s="109">
        <f t="shared" si="26"/>
        <v>-9.7268914749789034E-2</v>
      </c>
    </row>
    <row r="92" spans="1:23" x14ac:dyDescent="0.25">
      <c r="A92" s="110"/>
      <c r="B92" s="91">
        <v>100000000</v>
      </c>
      <c r="C92" s="91">
        <f t="shared" si="6"/>
        <v>1</v>
      </c>
      <c r="D92" s="110"/>
      <c r="E92" s="5" t="s">
        <v>66</v>
      </c>
      <c r="F92" s="19">
        <v>78.070999999999998</v>
      </c>
      <c r="G92" s="17">
        <f t="shared" si="7"/>
        <v>78.070999999999998</v>
      </c>
      <c r="H92" s="18">
        <v>6.8</v>
      </c>
      <c r="I92" s="18">
        <v>36.630000000000003</v>
      </c>
      <c r="J92" s="18">
        <v>169.65</v>
      </c>
      <c r="K92" s="19">
        <v>530.88279999999997</v>
      </c>
      <c r="L92" s="18">
        <v>2859.74073</v>
      </c>
      <c r="M92" s="20">
        <v>13244.745150000001</v>
      </c>
      <c r="N92" s="19">
        <v>360.68801999999999</v>
      </c>
      <c r="O92" s="18">
        <v>2451.4294</v>
      </c>
      <c r="P92" s="20">
        <v>5248.7133300000005</v>
      </c>
      <c r="Q92" s="19">
        <f t="shared" si="8"/>
        <v>360.68801999999999</v>
      </c>
      <c r="R92" s="18">
        <f t="shared" si="9"/>
        <v>2451.4294</v>
      </c>
      <c r="S92" s="20">
        <f t="shared" si="10"/>
        <v>5248.7133300000005</v>
      </c>
      <c r="T92" s="107"/>
      <c r="U92" s="108"/>
      <c r="V92" s="108"/>
      <c r="W92" s="109"/>
    </row>
    <row r="93" spans="1:23" x14ac:dyDescent="0.25">
      <c r="A93" s="110"/>
      <c r="B93" s="91">
        <v>100000000</v>
      </c>
      <c r="C93" s="91">
        <f t="shared" si="6"/>
        <v>1</v>
      </c>
      <c r="D93" s="110" t="s">
        <v>62</v>
      </c>
      <c r="E93" s="6"/>
      <c r="F93" s="19">
        <v>54.381999999999998</v>
      </c>
      <c r="G93" s="17">
        <f t="shared" si="7"/>
        <v>54.381999999999998</v>
      </c>
      <c r="H93" s="18">
        <v>7.83</v>
      </c>
      <c r="I93" s="18">
        <v>37.49</v>
      </c>
      <c r="J93" s="18">
        <v>169.15</v>
      </c>
      <c r="K93" s="19">
        <v>425.81106</v>
      </c>
      <c r="L93" s="18">
        <v>2038.7811799999999</v>
      </c>
      <c r="M93" s="20">
        <v>9198.7152999999998</v>
      </c>
      <c r="N93" s="19">
        <v>307.25830000000002</v>
      </c>
      <c r="O93" s="18">
        <v>1754.3633199999999</v>
      </c>
      <c r="P93" s="20">
        <v>3628.3670399999996</v>
      </c>
      <c r="Q93" s="19">
        <f t="shared" si="8"/>
        <v>307.25830000000002</v>
      </c>
      <c r="R93" s="18">
        <f t="shared" si="9"/>
        <v>1754.3633199999999</v>
      </c>
      <c r="S93" s="20">
        <f t="shared" si="10"/>
        <v>3628.3670399999996</v>
      </c>
      <c r="T93" s="107">
        <f>(G94-G93)/G93</f>
        <v>-5.1745062704571368E-2</v>
      </c>
      <c r="U93" s="108">
        <f t="shared" ref="U93:W93" si="27">(N94-N93)/N93</f>
        <v>-5.845837199515843E-2</v>
      </c>
      <c r="V93" s="108">
        <f t="shared" si="27"/>
        <v>-1.0299326139582014E-2</v>
      </c>
      <c r="W93" s="109">
        <f t="shared" si="27"/>
        <v>-2.7441766200147041E-2</v>
      </c>
    </row>
    <row r="94" spans="1:23" x14ac:dyDescent="0.25">
      <c r="A94" s="110"/>
      <c r="B94" s="91">
        <v>100000000</v>
      </c>
      <c r="C94" s="91">
        <f t="shared" si="6"/>
        <v>1</v>
      </c>
      <c r="D94" s="110"/>
      <c r="E94" s="5" t="s">
        <v>66</v>
      </c>
      <c r="F94" s="19">
        <v>51.567999999999998</v>
      </c>
      <c r="G94" s="17">
        <f t="shared" si="7"/>
        <v>51.567999999999998</v>
      </c>
      <c r="H94" s="18">
        <v>7.79</v>
      </c>
      <c r="I94" s="18">
        <v>38.89</v>
      </c>
      <c r="J94" s="18">
        <v>170.86</v>
      </c>
      <c r="K94" s="19">
        <v>401.71472</v>
      </c>
      <c r="L94" s="18">
        <v>2005.4795199999999</v>
      </c>
      <c r="M94" s="20">
        <v>8810.9084800000001</v>
      </c>
      <c r="N94" s="19">
        <v>289.29648000000003</v>
      </c>
      <c r="O94" s="18">
        <v>1736.29456</v>
      </c>
      <c r="P94" s="20">
        <v>3528.7982400000001</v>
      </c>
      <c r="Q94" s="19">
        <f t="shared" si="8"/>
        <v>289.29648000000003</v>
      </c>
      <c r="R94" s="18">
        <f t="shared" si="9"/>
        <v>1736.29456</v>
      </c>
      <c r="S94" s="20">
        <f t="shared" si="10"/>
        <v>3528.7982400000001</v>
      </c>
      <c r="T94" s="107"/>
      <c r="U94" s="108"/>
      <c r="V94" s="108"/>
      <c r="W94" s="109"/>
    </row>
  </sheetData>
  <mergeCells count="265">
    <mergeCell ref="F1:F2"/>
    <mergeCell ref="B1:B2"/>
    <mergeCell ref="C1:C2"/>
    <mergeCell ref="Q1:S1"/>
    <mergeCell ref="V93:V94"/>
    <mergeCell ref="W93:W94"/>
    <mergeCell ref="W87:W88"/>
    <mergeCell ref="D89:D90"/>
    <mergeCell ref="T89:T90"/>
    <mergeCell ref="U89:U90"/>
    <mergeCell ref="V89:V90"/>
    <mergeCell ref="W89:W90"/>
    <mergeCell ref="W79:W80"/>
    <mergeCell ref="D81:D82"/>
    <mergeCell ref="T81:T82"/>
    <mergeCell ref="U81:U82"/>
    <mergeCell ref="V81:V82"/>
    <mergeCell ref="W81:W82"/>
    <mergeCell ref="A91:A94"/>
    <mergeCell ref="U91:U92"/>
    <mergeCell ref="V91:V92"/>
    <mergeCell ref="W91:W92"/>
    <mergeCell ref="D93:D94"/>
    <mergeCell ref="T93:T94"/>
    <mergeCell ref="U93:U94"/>
    <mergeCell ref="D91:D92"/>
    <mergeCell ref="T91:T92"/>
    <mergeCell ref="A87:A90"/>
    <mergeCell ref="D87:D88"/>
    <mergeCell ref="T87:T88"/>
    <mergeCell ref="U87:U88"/>
    <mergeCell ref="V87:V88"/>
    <mergeCell ref="W83:W84"/>
    <mergeCell ref="D85:D86"/>
    <mergeCell ref="T85:T86"/>
    <mergeCell ref="U85:U86"/>
    <mergeCell ref="V85:V86"/>
    <mergeCell ref="W85:W86"/>
    <mergeCell ref="A83:A86"/>
    <mergeCell ref="D83:D84"/>
    <mergeCell ref="T83:T84"/>
    <mergeCell ref="U83:U84"/>
    <mergeCell ref="V83:V84"/>
    <mergeCell ref="A79:A82"/>
    <mergeCell ref="D79:D80"/>
    <mergeCell ref="T79:T80"/>
    <mergeCell ref="U79:U80"/>
    <mergeCell ref="V79:V80"/>
    <mergeCell ref="A75:A78"/>
    <mergeCell ref="D75:D76"/>
    <mergeCell ref="W71:W72"/>
    <mergeCell ref="D73:D74"/>
    <mergeCell ref="T73:T74"/>
    <mergeCell ref="U73:U74"/>
    <mergeCell ref="V73:V74"/>
    <mergeCell ref="W73:W74"/>
    <mergeCell ref="A71:A74"/>
    <mergeCell ref="D71:D72"/>
    <mergeCell ref="T71:T72"/>
    <mergeCell ref="U71:U72"/>
    <mergeCell ref="V71:V72"/>
    <mergeCell ref="U77:U78"/>
    <mergeCell ref="V77:V78"/>
    <mergeCell ref="W77:W78"/>
    <mergeCell ref="T75:T76"/>
    <mergeCell ref="U75:U76"/>
    <mergeCell ref="V75:V76"/>
    <mergeCell ref="W75:W76"/>
    <mergeCell ref="D77:D78"/>
    <mergeCell ref="T77:T78"/>
    <mergeCell ref="V67:V68"/>
    <mergeCell ref="W67:W68"/>
    <mergeCell ref="D69:D70"/>
    <mergeCell ref="T69:T70"/>
    <mergeCell ref="U69:U70"/>
    <mergeCell ref="V69:V70"/>
    <mergeCell ref="A67:A70"/>
    <mergeCell ref="D67:D68"/>
    <mergeCell ref="T67:T68"/>
    <mergeCell ref="U67:U68"/>
    <mergeCell ref="W69:W70"/>
    <mergeCell ref="A63:A66"/>
    <mergeCell ref="D63:D64"/>
    <mergeCell ref="W59:W60"/>
    <mergeCell ref="D61:D62"/>
    <mergeCell ref="T61:T62"/>
    <mergeCell ref="U61:U62"/>
    <mergeCell ref="V61:V62"/>
    <mergeCell ref="W61:W62"/>
    <mergeCell ref="A59:A62"/>
    <mergeCell ref="D59:D60"/>
    <mergeCell ref="T59:T60"/>
    <mergeCell ref="U59:U60"/>
    <mergeCell ref="V59:V60"/>
    <mergeCell ref="U65:U66"/>
    <mergeCell ref="V65:V66"/>
    <mergeCell ref="W65:W66"/>
    <mergeCell ref="T63:T64"/>
    <mergeCell ref="U63:U64"/>
    <mergeCell ref="V63:V64"/>
    <mergeCell ref="W63:W64"/>
    <mergeCell ref="D65:D66"/>
    <mergeCell ref="T65:T66"/>
    <mergeCell ref="A55:A58"/>
    <mergeCell ref="D55:D56"/>
    <mergeCell ref="T55:T56"/>
    <mergeCell ref="T51:T52"/>
    <mergeCell ref="U51:U52"/>
    <mergeCell ref="V51:V52"/>
    <mergeCell ref="W51:W52"/>
    <mergeCell ref="D53:D54"/>
    <mergeCell ref="T53:T54"/>
    <mergeCell ref="A51:A54"/>
    <mergeCell ref="D51:D52"/>
    <mergeCell ref="V57:V58"/>
    <mergeCell ref="W57:W58"/>
    <mergeCell ref="U55:U56"/>
    <mergeCell ref="V55:V56"/>
    <mergeCell ref="W55:W56"/>
    <mergeCell ref="D57:D58"/>
    <mergeCell ref="T57:T58"/>
    <mergeCell ref="U57:U58"/>
    <mergeCell ref="U53:U54"/>
    <mergeCell ref="V53:V54"/>
    <mergeCell ref="W53:W54"/>
    <mergeCell ref="W47:W48"/>
    <mergeCell ref="D49:D50"/>
    <mergeCell ref="T49:T50"/>
    <mergeCell ref="U49:U50"/>
    <mergeCell ref="V49:V50"/>
    <mergeCell ref="W49:W50"/>
    <mergeCell ref="A47:A50"/>
    <mergeCell ref="D47:D48"/>
    <mergeCell ref="T47:T48"/>
    <mergeCell ref="U47:U48"/>
    <mergeCell ref="V47:V48"/>
    <mergeCell ref="V43:V44"/>
    <mergeCell ref="W43:W44"/>
    <mergeCell ref="D45:D46"/>
    <mergeCell ref="T45:T46"/>
    <mergeCell ref="U45:U46"/>
    <mergeCell ref="V45:V46"/>
    <mergeCell ref="A43:A46"/>
    <mergeCell ref="D43:D44"/>
    <mergeCell ref="T43:T44"/>
    <mergeCell ref="U43:U44"/>
    <mergeCell ref="W45:W46"/>
    <mergeCell ref="D33:D34"/>
    <mergeCell ref="T33:T34"/>
    <mergeCell ref="A39:A42"/>
    <mergeCell ref="D39:D40"/>
    <mergeCell ref="W35:W36"/>
    <mergeCell ref="D37:D38"/>
    <mergeCell ref="T37:T38"/>
    <mergeCell ref="U37:U38"/>
    <mergeCell ref="V37:V38"/>
    <mergeCell ref="W37:W38"/>
    <mergeCell ref="A35:A38"/>
    <mergeCell ref="D35:D36"/>
    <mergeCell ref="T35:T36"/>
    <mergeCell ref="U35:U36"/>
    <mergeCell ref="V35:V36"/>
    <mergeCell ref="U41:U42"/>
    <mergeCell ref="V41:V42"/>
    <mergeCell ref="W41:W42"/>
    <mergeCell ref="T39:T40"/>
    <mergeCell ref="U39:U40"/>
    <mergeCell ref="V39:V40"/>
    <mergeCell ref="W39:W40"/>
    <mergeCell ref="D41:D42"/>
    <mergeCell ref="T41:T42"/>
    <mergeCell ref="A23:A26"/>
    <mergeCell ref="D23:D24"/>
    <mergeCell ref="T23:T24"/>
    <mergeCell ref="U23:U24"/>
    <mergeCell ref="A31:A34"/>
    <mergeCell ref="D31:D32"/>
    <mergeCell ref="W27:W28"/>
    <mergeCell ref="D29:D30"/>
    <mergeCell ref="T29:T30"/>
    <mergeCell ref="U29:U30"/>
    <mergeCell ref="V29:V30"/>
    <mergeCell ref="W29:W30"/>
    <mergeCell ref="A27:A30"/>
    <mergeCell ref="D27:D28"/>
    <mergeCell ref="T27:T28"/>
    <mergeCell ref="U27:U28"/>
    <mergeCell ref="V27:V28"/>
    <mergeCell ref="U33:U34"/>
    <mergeCell ref="V33:V34"/>
    <mergeCell ref="W33:W34"/>
    <mergeCell ref="T31:T32"/>
    <mergeCell ref="U31:U32"/>
    <mergeCell ref="V31:V32"/>
    <mergeCell ref="W31:W32"/>
    <mergeCell ref="W25:W26"/>
    <mergeCell ref="U17:U18"/>
    <mergeCell ref="V17:V18"/>
    <mergeCell ref="W17:W18"/>
    <mergeCell ref="V23:V24"/>
    <mergeCell ref="W23:W24"/>
    <mergeCell ref="D25:D26"/>
    <mergeCell ref="T25:T26"/>
    <mergeCell ref="U25:U26"/>
    <mergeCell ref="V25:V26"/>
    <mergeCell ref="A19:A22"/>
    <mergeCell ref="D19:D20"/>
    <mergeCell ref="T19:T20"/>
    <mergeCell ref="T15:T16"/>
    <mergeCell ref="U15:U16"/>
    <mergeCell ref="V15:V16"/>
    <mergeCell ref="W15:W16"/>
    <mergeCell ref="D17:D18"/>
    <mergeCell ref="T17:T18"/>
    <mergeCell ref="A15:A18"/>
    <mergeCell ref="D15:D16"/>
    <mergeCell ref="V21:V22"/>
    <mergeCell ref="W21:W22"/>
    <mergeCell ref="U19:U20"/>
    <mergeCell ref="V19:V20"/>
    <mergeCell ref="W19:W20"/>
    <mergeCell ref="D21:D22"/>
    <mergeCell ref="T21:T22"/>
    <mergeCell ref="U21:U22"/>
    <mergeCell ref="A7:A10"/>
    <mergeCell ref="D7:D8"/>
    <mergeCell ref="T7:T8"/>
    <mergeCell ref="U7:U8"/>
    <mergeCell ref="W11:W12"/>
    <mergeCell ref="D13:D14"/>
    <mergeCell ref="T13:T14"/>
    <mergeCell ref="U13:U14"/>
    <mergeCell ref="V13:V14"/>
    <mergeCell ref="W13:W14"/>
    <mergeCell ref="W9:W10"/>
    <mergeCell ref="A11:A14"/>
    <mergeCell ref="D11:D12"/>
    <mergeCell ref="T11:T12"/>
    <mergeCell ref="U11:U12"/>
    <mergeCell ref="V11:V12"/>
    <mergeCell ref="V7:V8"/>
    <mergeCell ref="W7:W8"/>
    <mergeCell ref="D9:D10"/>
    <mergeCell ref="T9:T10"/>
    <mergeCell ref="U9:U10"/>
    <mergeCell ref="V9:V10"/>
    <mergeCell ref="E1:E2"/>
    <mergeCell ref="G1:G2"/>
    <mergeCell ref="H1:J1"/>
    <mergeCell ref="K1:M1"/>
    <mergeCell ref="N1:P1"/>
    <mergeCell ref="T1:W1"/>
    <mergeCell ref="A1:A2"/>
    <mergeCell ref="D1:D2"/>
    <mergeCell ref="W3:W4"/>
    <mergeCell ref="D5:D6"/>
    <mergeCell ref="T5:T6"/>
    <mergeCell ref="U5:U6"/>
    <mergeCell ref="V5:V6"/>
    <mergeCell ref="W5:W6"/>
    <mergeCell ref="A3:A6"/>
    <mergeCell ref="D3:D4"/>
    <mergeCell ref="T3:T4"/>
    <mergeCell ref="U3:U4"/>
    <mergeCell ref="V3:V4"/>
  </mergeCells>
  <conditionalFormatting sqref="T3:W94">
    <cfRule type="colorScale" priority="1">
      <colorScale>
        <cfvo type="num" val="-1"/>
        <cfvo type="num" val="0"/>
        <cfvo type="num" val="1"/>
        <color rgb="FF92D050"/>
        <color rgb="FFFFC000"/>
        <color rgb="FFFF0000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8DB39-D9B1-4267-91C8-463B4E8FDA36}">
  <dimension ref="A1:S36"/>
  <sheetViews>
    <sheetView topLeftCell="D1" zoomScaleNormal="100" workbookViewId="0">
      <selection activeCell="A28" sqref="A26:XFD28"/>
    </sheetView>
  </sheetViews>
  <sheetFormatPr baseColWidth="10" defaultColWidth="9.140625" defaultRowHeight="15" x14ac:dyDescent="0.25"/>
  <cols>
    <col min="1" max="1" width="10.28515625" bestFit="1" customWidth="1"/>
    <col min="2" max="3" width="23.28515625" bestFit="1" customWidth="1"/>
    <col min="4" max="5" width="15.7109375" customWidth="1"/>
    <col min="6" max="7" width="23.28515625" bestFit="1" customWidth="1"/>
    <col min="8" max="9" width="15.7109375" customWidth="1"/>
    <col min="10" max="10" width="18.42578125" bestFit="1" customWidth="1"/>
    <col min="11" max="12" width="18.42578125" customWidth="1"/>
    <col min="14" max="14" width="13.28515625" bestFit="1" customWidth="1"/>
    <col min="15" max="15" width="63.85546875" customWidth="1"/>
    <col min="18" max="18" width="15.85546875" bestFit="1" customWidth="1"/>
    <col min="19" max="19" width="70" bestFit="1" customWidth="1"/>
  </cols>
  <sheetData>
    <row r="1" spans="1:19" x14ac:dyDescent="0.25">
      <c r="A1" s="50"/>
      <c r="B1" s="118" t="s">
        <v>92</v>
      </c>
      <c r="C1" s="119"/>
      <c r="D1" s="119"/>
      <c r="E1" s="119"/>
      <c r="F1" s="119" t="s">
        <v>93</v>
      </c>
      <c r="G1" s="119"/>
      <c r="H1" s="119"/>
      <c r="I1" s="120"/>
    </row>
    <row r="2" spans="1:19" ht="18.75" customHeight="1" x14ac:dyDescent="0.25">
      <c r="A2" s="38" t="s">
        <v>45</v>
      </c>
      <c r="B2" s="16" t="s">
        <v>113</v>
      </c>
      <c r="C2" s="16" t="s">
        <v>114</v>
      </c>
      <c r="D2" s="16" t="s">
        <v>94</v>
      </c>
      <c r="E2" s="16" t="s">
        <v>185</v>
      </c>
      <c r="F2" s="16" t="s">
        <v>113</v>
      </c>
      <c r="G2" s="16" t="s">
        <v>114</v>
      </c>
      <c r="H2" s="16" t="s">
        <v>94</v>
      </c>
      <c r="I2" s="16" t="s">
        <v>185</v>
      </c>
      <c r="J2" s="35" t="s">
        <v>177</v>
      </c>
    </row>
    <row r="3" spans="1:19" x14ac:dyDescent="0.25">
      <c r="A3" s="32" t="s">
        <v>101</v>
      </c>
      <c r="B3" s="61" cm="1">
        <f t="array" aca="1" ref="B3" ca="1">INDIRECT("'Python Impact of Optimization'!R" &amp; 3 + (ROW(A1)-1)*4)</f>
        <v>2269.3058299999998</v>
      </c>
      <c r="C3" s="46" cm="1">
        <f t="array" aca="1" ref="C3" ca="1">INDIRECT("'Python Impact of Optimization'!R" &amp; 4 + (ROW(A1)-1)*4)</f>
        <v>3211.5992000000001</v>
      </c>
      <c r="D3" s="46" cm="1">
        <f t="array" aca="1" ref="D3" ca="1">INDIRECT("'Python Impact of Optimization'!V" &amp; 3 + (ROW(A1)-1)*4)*100</f>
        <v>41.523419080098186</v>
      </c>
      <c r="E3" s="25" t="s">
        <v>182</v>
      </c>
      <c r="F3" s="46" cm="1">
        <f t="array" aca="1" ref="F3" ca="1">INDIRECT("'Python Impact of Optimization'!R" &amp; 5 + (ROW(A1)-1)*4)</f>
        <v>1173.4942100000001</v>
      </c>
      <c r="G3" s="46" cm="1">
        <f t="array" aca="1" ref="G3" ca="1">INDIRECT("'Python Impact of Optimization'!R" &amp; 6 + (ROW(A1)-1)*4)</f>
        <v>1046.4518799999998</v>
      </c>
      <c r="H3" s="47" cm="1">
        <f t="array" aca="1" ref="H3" ca="1">INDIRECT("'Python Impact of Optimization'!V" &amp; 5 + (ROW(D1)-1)*4)*100</f>
        <v>-10.825986947136297</v>
      </c>
      <c r="I3" s="25" t="s">
        <v>182</v>
      </c>
      <c r="J3" s="39">
        <f ca="1">AVERAGE(D3,H3)</f>
        <v>15.348716066480945</v>
      </c>
      <c r="K3" s="41"/>
      <c r="L3" s="41"/>
      <c r="N3" s="118" t="s">
        <v>92</v>
      </c>
      <c r="O3" s="120"/>
      <c r="P3" s="37"/>
      <c r="Q3" s="37"/>
      <c r="R3" s="118" t="s">
        <v>93</v>
      </c>
      <c r="S3" s="120"/>
    </row>
    <row r="4" spans="1:19" x14ac:dyDescent="0.25">
      <c r="A4" s="32" t="s">
        <v>103</v>
      </c>
      <c r="B4" s="48" cm="1">
        <f t="array" aca="1" ref="B4" ca="1">INDIRECT("'Python Impact of Optimization'!R" &amp; 3 + (ROW(A2)-1)*4)</f>
        <v>698.87178999999992</v>
      </c>
      <c r="C4" s="41" cm="1">
        <f t="array" aca="1" ref="C4" ca="1">INDIRECT("'Python Impact of Optimization'!R" &amp; 4 + (ROW(A2)-1)*4)</f>
        <v>566.01599999999996</v>
      </c>
      <c r="D4" s="41" cm="1">
        <f t="array" aca="1" ref="D4" ca="1">INDIRECT("'Python Impact of Optimization'!V" &amp; 3 + (ROW(A2)-1)*4)*100</f>
        <v>-19.010037592159783</v>
      </c>
      <c r="E4" s="22" t="s">
        <v>182</v>
      </c>
      <c r="F4" s="41" cm="1">
        <f t="array" aca="1" ref="F4" ca="1">INDIRECT("'Python Impact of Optimization'!R" &amp; 5 + (ROW(A2)-1)*4)</f>
        <v>430.57574</v>
      </c>
      <c r="G4" s="41" cm="1">
        <f t="array" aca="1" ref="G4" ca="1">INDIRECT("'Python Impact of Optimization'!R" &amp; 6 + (ROW(A2)-1)*4)</f>
        <v>324.34766999999999</v>
      </c>
      <c r="H4" s="42" cm="1">
        <f t="array" aca="1" ref="H4" ca="1">INDIRECT("'Python Impact of Optimization'!V" &amp; 5 + (ROW(D2)-1)*4)*100</f>
        <v>-24.671169351064695</v>
      </c>
      <c r="I4" s="22" t="s">
        <v>182</v>
      </c>
      <c r="J4" s="40">
        <f t="shared" ref="J4:J25" ca="1" si="0">AVERAGE(D4,H4)</f>
        <v>-21.840603471612241</v>
      </c>
      <c r="K4" s="41"/>
      <c r="L4" s="41"/>
      <c r="N4" s="16" t="s">
        <v>100</v>
      </c>
      <c r="O4" s="16" t="s">
        <v>99</v>
      </c>
      <c r="P4" s="37"/>
      <c r="Q4" s="37"/>
      <c r="R4" s="79" t="s">
        <v>100</v>
      </c>
      <c r="S4" s="16" t="s">
        <v>99</v>
      </c>
    </row>
    <row r="5" spans="1:19" x14ac:dyDescent="0.25">
      <c r="A5" s="32" t="s">
        <v>105</v>
      </c>
      <c r="B5" s="48" cm="1">
        <f t="array" aca="1" ref="B5" ca="1">INDIRECT("'Python Impact of Optimization'!R" &amp; 3 + (ROW(A3)-1)*4)</f>
        <v>711.11368000000004</v>
      </c>
      <c r="C5" s="41" cm="1">
        <f t="array" aca="1" ref="C5" ca="1">INDIRECT("'Python Impact of Optimization'!R" &amp; 4 + (ROW(A3)-1)*4)</f>
        <v>519.14724999999999</v>
      </c>
      <c r="D5" s="41" cm="1">
        <f t="array" aca="1" ref="D5" ca="1">INDIRECT("'Python Impact of Optimization'!V" &amp; 3 + (ROW(A3)-1)*4)*100</f>
        <v>-26.995181698656118</v>
      </c>
      <c r="E5" s="22" t="s">
        <v>182</v>
      </c>
      <c r="F5" s="41" cm="1">
        <f t="array" aca="1" ref="F5" ca="1">INDIRECT("'Python Impact of Optimization'!R" &amp; 5 + (ROW(A3)-1)*4)</f>
        <v>202.10805999999999</v>
      </c>
      <c r="G5" s="41" cm="1">
        <f t="array" aca="1" ref="G5" ca="1">INDIRECT("'Python Impact of Optimization'!R" &amp; 6 + (ROW(A3)-1)*4)</f>
        <v>230.04453000000001</v>
      </c>
      <c r="H5" s="42" cm="1">
        <f t="array" aca="1" ref="H5" ca="1">INDIRECT("'Python Impact of Optimization'!V" &amp; 5 + (ROW(D3)-1)*4)*100</f>
        <v>13.822541268270061</v>
      </c>
      <c r="I5" s="22" t="s">
        <v>182</v>
      </c>
      <c r="J5" s="40">
        <f t="shared" ca="1" si="0"/>
        <v>-6.5863202151930285</v>
      </c>
      <c r="K5" s="41"/>
      <c r="L5" s="41"/>
      <c r="N5" s="78" t="s">
        <v>106</v>
      </c>
      <c r="O5" s="29" t="str" cm="1">
        <f t="array" aca="1" ref="O5" ca="1">_xlfn.TEXTJOIN(", ", TRUE, IF(D3:D25 &lt;= -75, A3:A25, ""))</f>
        <v/>
      </c>
      <c r="R5" s="78" t="s">
        <v>106</v>
      </c>
      <c r="S5" s="29" t="str" cm="1">
        <f t="array" aca="1" ref="S5" ca="1">_xlfn.TEXTJOIN(", ", TRUE, IF(H3:H25 &lt;= -75, A3:A25, ""))</f>
        <v/>
      </c>
    </row>
    <row r="6" spans="1:19" x14ac:dyDescent="0.25">
      <c r="A6" s="32" t="s">
        <v>104</v>
      </c>
      <c r="B6" s="48" cm="1">
        <f t="array" aca="1" ref="B6" ca="1">INDIRECT("'Python Impact of Optimization'!R" &amp; 3 + (ROW(A4)-1)*4)</f>
        <v>165.47682</v>
      </c>
      <c r="C6" s="41" cm="1">
        <f t="array" aca="1" ref="C6" ca="1">INDIRECT("'Python Impact of Optimization'!R" &amp; 4 + (ROW(A4)-1)*4)</f>
        <v>70.291920000000005</v>
      </c>
      <c r="D6" s="41" cm="1">
        <f t="array" aca="1" ref="D6" ca="1">INDIRECT("'Python Impact of Optimization'!V" &amp; 3 + (ROW(A4)-1)*4)*100</f>
        <v>-57.521591241601087</v>
      </c>
      <c r="E6" s="22" t="s">
        <v>182</v>
      </c>
      <c r="F6" s="41" cm="1">
        <f t="array" aca="1" ref="F6" ca="1">INDIRECT("'Python Impact of Optimization'!R" &amp; 5 + (ROW(A4)-1)*4)</f>
        <v>121.43306000000001</v>
      </c>
      <c r="G6" s="41" cm="1">
        <f t="array" aca="1" ref="G6" ca="1">INDIRECT("'Python Impact of Optimization'!R" &amp; 6 + (ROW(A4)-1)*4)</f>
        <v>53.428429999999999</v>
      </c>
      <c r="H6" s="42" cm="1">
        <f t="array" aca="1" ref="H6" ca="1">INDIRECT("'Python Impact of Optimization'!V" &amp; 5 + (ROW(D4)-1)*4)*100</f>
        <v>-56.001742853223014</v>
      </c>
      <c r="I6" s="22" t="s">
        <v>182</v>
      </c>
      <c r="J6" s="40">
        <f t="shared" ca="1" si="0"/>
        <v>-56.761667047412047</v>
      </c>
      <c r="K6" s="41"/>
      <c r="L6" s="41"/>
      <c r="N6" s="72" t="s">
        <v>107</v>
      </c>
      <c r="O6" s="29" t="str" cm="1">
        <f t="array" aca="1" ref="O6" ca="1">_xlfn.TEXTJOIN(", ", TRUE, IF((D3:D25 &gt; -75) * (D3:D25 &lt;= -25), A3:A25, ""))</f>
        <v>T8, T9, T10, T11, T12, T16, T17, T29, T32, T33, T36, T44</v>
      </c>
      <c r="R6" s="72" t="s">
        <v>107</v>
      </c>
      <c r="S6" s="29" t="str" cm="1">
        <f t="array" aca="1" ref="S6" ca="1">_xlfn.TEXTJOIN(", ", TRUE, IF((H3:H25 &gt; -75) * (H3:H25 &lt;= -25), A3:A25, ""))</f>
        <v>T9, T10, T12, T16, T17, T29, T32, T33, T44</v>
      </c>
    </row>
    <row r="7" spans="1:19" x14ac:dyDescent="0.25">
      <c r="A7" s="32" t="s">
        <v>1</v>
      </c>
      <c r="B7" s="48" cm="1">
        <f t="array" aca="1" ref="B7" ca="1">INDIRECT("'Python Impact of Optimization'!R" &amp; 3 + (ROW(A5)-1)*4)</f>
        <v>730.37195000000008</v>
      </c>
      <c r="C7" s="41" cm="1">
        <f t="array" aca="1" ref="C7" ca="1">INDIRECT("'Python Impact of Optimization'!R" &amp; 4 + (ROW(A5)-1)*4)</f>
        <v>389.33280000000002</v>
      </c>
      <c r="D7" s="41" cm="1">
        <f t="array" aca="1" ref="D7" ca="1">INDIRECT("'Python Impact of Optimization'!V" &amp; 3 + (ROW(A5)-1)*4)*100</f>
        <v>-46.693900279165987</v>
      </c>
      <c r="E7" s="22" t="s">
        <v>182</v>
      </c>
      <c r="F7" s="41" cm="1">
        <f t="array" aca="1" ref="F7" ca="1">INDIRECT("'Python Impact of Optimization'!R" &amp; 5 + (ROW(A5)-1)*4)</f>
        <v>338.37829999999997</v>
      </c>
      <c r="G7" s="41" cm="1">
        <f t="array" aca="1" ref="G7" ca="1">INDIRECT("'Python Impact of Optimization'!R" &amp; 6 + (ROW(A5)-1)*4)</f>
        <v>120.53295999999999</v>
      </c>
      <c r="H7" s="42" cm="1">
        <f t="array" aca="1" ref="H7" ca="1">INDIRECT("'Python Impact of Optimization'!V" &amp; 5 + (ROW(D5)-1)*4)*100</f>
        <v>-64.379228809885262</v>
      </c>
      <c r="I7" s="22" t="s">
        <v>182</v>
      </c>
      <c r="J7" s="40">
        <f t="shared" ca="1" si="0"/>
        <v>-55.536564544525625</v>
      </c>
      <c r="K7" s="41"/>
      <c r="L7" s="41"/>
      <c r="N7" s="73" t="s">
        <v>112</v>
      </c>
      <c r="O7" s="29" t="str" cm="1">
        <f t="array" aca="1" ref="O7" ca="1">_xlfn.TEXTJOIN(", ", TRUE, IF((D3:D25 &gt; -25) * (D3:D25 &lt;= -3), A3:A25, ""))</f>
        <v>T7, T13, T20, T25, T26, T28, T40, T49</v>
      </c>
      <c r="R7" s="73" t="s">
        <v>112</v>
      </c>
      <c r="S7" s="29" t="str" cm="1">
        <f t="array" aca="1" ref="S7" ca="1">_xlfn.TEXTJOIN(", ", TRUE, IF((H3:H25 &gt; -25) * (H3:H25 &lt;= -3), A3:A25, ""))</f>
        <v>T4, T7, T11, T19, T25, T28, T36</v>
      </c>
    </row>
    <row r="8" spans="1:19" x14ac:dyDescent="0.25">
      <c r="A8" s="32" t="s">
        <v>2</v>
      </c>
      <c r="B8" s="48" cm="1">
        <f t="array" aca="1" ref="B8" ca="1">INDIRECT("'Python Impact of Optimization'!R" &amp; 3 + (ROW(A6)-1)*4)</f>
        <v>1349.4572400000002</v>
      </c>
      <c r="C8" s="41" cm="1">
        <f t="array" aca="1" ref="C8" ca="1">INDIRECT("'Python Impact of Optimization'!R" &amp; 4 + (ROW(A6)-1)*4)</f>
        <v>850.82883000000004</v>
      </c>
      <c r="D8" s="41" cm="1">
        <f t="array" aca="1" ref="D8" ca="1">INDIRECT("'Python Impact of Optimization'!V" &amp; 3 + (ROW(A6)-1)*4)*100</f>
        <v>-36.950293437975112</v>
      </c>
      <c r="E8" s="22" t="s">
        <v>182</v>
      </c>
      <c r="F8" s="41" cm="1">
        <f t="array" aca="1" ref="F8" ca="1">INDIRECT("'Python Impact of Optimization'!R" &amp; 5 + (ROW(A6)-1)*4)</f>
        <v>889.12239999999997</v>
      </c>
      <c r="G8" s="41" cm="1">
        <f t="array" aca="1" ref="G8" ca="1">INDIRECT("'Python Impact of Optimization'!R" &amp; 6 + (ROW(A6)-1)*4)</f>
        <v>768.9176799999999</v>
      </c>
      <c r="H8" s="42" cm="1">
        <f t="array" aca="1" ref="H8" ca="1">INDIRECT("'Python Impact of Optimization'!V" &amp; 5 + (ROW(D6)-1)*4)*100</f>
        <v>-13.519479432753023</v>
      </c>
      <c r="I8" s="22" t="s">
        <v>182</v>
      </c>
      <c r="J8" s="40">
        <f t="shared" ca="1" si="0"/>
        <v>-25.234886435364068</v>
      </c>
      <c r="K8" s="41"/>
      <c r="L8" s="41"/>
      <c r="N8" s="74" t="s">
        <v>108</v>
      </c>
      <c r="O8" s="29" t="str" cm="1">
        <f t="array" aca="1" ref="O8" ca="1">_xlfn.TEXTJOIN(", ", TRUE, IF((D3:D25 &gt; -3) * (D3:D25 &lt; 3), A3:A25, ""))</f>
        <v>T19</v>
      </c>
      <c r="R8" s="74" t="s">
        <v>108</v>
      </c>
      <c r="S8" s="29" t="str" cm="1">
        <f t="array" aca="1" ref="S8" ca="1">_xlfn.TEXTJOIN(", ", TRUE, IF((H3:H25 &gt; -3) * (H3:H25 &lt; 3), A3:A25, ""))</f>
        <v>T13, T26, T49</v>
      </c>
    </row>
    <row r="9" spans="1:19" x14ac:dyDescent="0.25">
      <c r="A9" s="32" t="s">
        <v>3</v>
      </c>
      <c r="B9" s="48" cm="1">
        <f t="array" aca="1" ref="B9" ca="1">INDIRECT("'Python Impact of Optimization'!R" &amp; 3 + (ROW(A7)-1)*4)</f>
        <v>258.27680000000004</v>
      </c>
      <c r="C9" s="41" cm="1">
        <f t="array" aca="1" ref="C9" ca="1">INDIRECT("'Python Impact of Optimization'!R" &amp; 4 + (ROW(A7)-1)*4)</f>
        <v>133.26984000000002</v>
      </c>
      <c r="D9" s="41" cm="1">
        <f t="array" aca="1" ref="D9" ca="1">INDIRECT("'Python Impact of Optimization'!V" &amp; 3 + (ROW(A7)-1)*4)*100</f>
        <v>-48.400382845071647</v>
      </c>
      <c r="E9" s="22" t="s">
        <v>182</v>
      </c>
      <c r="F9" s="41" cm="1">
        <f t="array" aca="1" ref="F9" ca="1">INDIRECT("'Python Impact of Optimization'!R" &amp; 5 + (ROW(A7)-1)*4)</f>
        <v>203.25776999999999</v>
      </c>
      <c r="G9" s="41" cm="1">
        <f t="array" aca="1" ref="G9" ca="1">INDIRECT("'Python Impact of Optimization'!R" &amp; 6 + (ROW(A7)-1)*4)</f>
        <v>107.12832</v>
      </c>
      <c r="H9" s="42" cm="1">
        <f t="array" aca="1" ref="H9" ca="1">INDIRECT("'Python Impact of Optimization'!V" &amp; 5 + (ROW(D7)-1)*4)*100</f>
        <v>-47.294354356047492</v>
      </c>
      <c r="I9" s="22" t="s">
        <v>182</v>
      </c>
      <c r="J9" s="40">
        <f t="shared" ca="1" si="0"/>
        <v>-47.84736860055957</v>
      </c>
      <c r="K9" s="41"/>
      <c r="L9" s="41"/>
      <c r="N9" s="75" t="s">
        <v>109</v>
      </c>
      <c r="O9" s="29" t="str" cm="1">
        <f t="array" aca="1" ref="O9" ca="1">_xlfn.TEXTJOIN(", ", TRUE, IF((D3:D25 &gt;= 3) * (D3:D25 &lt; 25), A3:A25, ""))</f>
        <v/>
      </c>
      <c r="R9" s="75" t="s">
        <v>109</v>
      </c>
      <c r="S9" s="29" t="str" cm="1">
        <f t="array" aca="1" ref="S9" ca="1">_xlfn.TEXTJOIN(", ", TRUE, IF((H3:H25 &gt;= 3) * (H3:H25 &lt; 25), A3:A25, ""))</f>
        <v>T8, T20, T40</v>
      </c>
    </row>
    <row r="10" spans="1:19" x14ac:dyDescent="0.25">
      <c r="A10" s="32" t="s">
        <v>4</v>
      </c>
      <c r="B10" s="48" cm="1">
        <f t="array" aca="1" ref="B10" ca="1">INDIRECT("'Python Impact of Optimization'!R" &amp; 3 + (ROW(A8)-1)*4)</f>
        <v>7426.7919000000002</v>
      </c>
      <c r="C10" s="41" cm="1">
        <f t="array" aca="1" ref="C10" ca="1">INDIRECT("'Python Impact of Optimization'!R" &amp; 4 + (ROW(A8)-1)*4)</f>
        <v>6789.316929999999</v>
      </c>
      <c r="D10" s="41" cm="1">
        <f t="array" aca="1" ref="D10" ca="1">INDIRECT("'Python Impact of Optimization'!V" &amp; 3 + (ROW(A8)-1)*4)*100</f>
        <v>-8.5834500088793533</v>
      </c>
      <c r="E10" s="22" t="s">
        <v>182</v>
      </c>
      <c r="F10" s="41" cm="1">
        <f t="array" aca="1" ref="F10" ca="1">INDIRECT("'Python Impact of Optimization'!R" &amp; 5 + (ROW(A8)-1)*4)</f>
        <v>6791.79288</v>
      </c>
      <c r="G10" s="41" cm="1">
        <f t="array" aca="1" ref="G10" ca="1">INDIRECT("'Python Impact of Optimization'!R" &amp; 6 + (ROW(A8)-1)*4)</f>
        <v>6785.6583600000004</v>
      </c>
      <c r="H10" s="42" cm="1">
        <f t="array" aca="1" ref="H10" ca="1">INDIRECT("'Python Impact of Optimization'!V" &amp; 5 + (ROW(D8)-1)*4)*100</f>
        <v>-9.0322542344660126E-2</v>
      </c>
      <c r="I10" s="22" t="s">
        <v>182</v>
      </c>
      <c r="J10" s="40">
        <f t="shared" ca="1" si="0"/>
        <v>-4.3368862756120068</v>
      </c>
      <c r="K10" s="41"/>
      <c r="L10" s="41"/>
      <c r="N10" s="76" t="s">
        <v>110</v>
      </c>
      <c r="O10" s="29" t="str" cm="1">
        <f t="array" aca="1" ref="O10" ca="1">_xlfn.TEXTJOIN(", ", TRUE, IF((D3:D25 &gt;= 25) * (D3:D25 &lt; 75), A3:A25, ""))</f>
        <v>T4</v>
      </c>
      <c r="R10" s="76" t="s">
        <v>110</v>
      </c>
      <c r="S10" s="29" t="str" cm="1">
        <f t="array" aca="1" ref="S10" ca="1">_xlfn.TEXTJOIN(", ", TRUE, IF((H3:H25 &gt;= 25) * (H3:H25 &lt; 75), A3:A25, ""))</f>
        <v>T31</v>
      </c>
    </row>
    <row r="11" spans="1:19" x14ac:dyDescent="0.25">
      <c r="A11" s="32" t="s">
        <v>7</v>
      </c>
      <c r="B11" s="48" cm="1">
        <f t="array" aca="1" ref="B11" ca="1">INDIRECT("'Python Impact of Optimization'!R" &amp; 3 + (ROW(A9)-1)*4)</f>
        <v>234.86219999999997</v>
      </c>
      <c r="C11" s="41" cm="1">
        <f t="array" aca="1" ref="C11" ca="1">INDIRECT("'Python Impact of Optimization'!R" &amp; 4 + (ROW(A9)-1)*4)</f>
        <v>116.56938000000001</v>
      </c>
      <c r="D11" s="41" cm="1">
        <f t="array" aca="1" ref="D11" ca="1">INDIRECT("'Python Impact of Optimization'!V" &amp; 3 + (ROW(A9)-1)*4)*100</f>
        <v>-50.366904508260582</v>
      </c>
      <c r="E11" s="22" t="s">
        <v>182</v>
      </c>
      <c r="F11" s="41" cm="1">
        <f t="array" aca="1" ref="F11" ca="1">INDIRECT("'Python Impact of Optimization'!R" &amp; 5 + (ROW(A9)-1)*4)</f>
        <v>209.66652999999999</v>
      </c>
      <c r="G11" s="41" cm="1">
        <f t="array" aca="1" ref="G11" ca="1">INDIRECT("'Python Impact of Optimization'!R" &amp; 6 + (ROW(A9)-1)*4)</f>
        <v>112.74291000000001</v>
      </c>
      <c r="H11" s="42" cm="1">
        <f t="array" aca="1" ref="H11" ca="1">INDIRECT("'Python Impact of Optimization'!V" &amp; 5 + (ROW(D9)-1)*4)*100</f>
        <v>-46.227511849411535</v>
      </c>
      <c r="I11" s="22" t="s">
        <v>182</v>
      </c>
      <c r="J11" s="40">
        <f t="shared" ca="1" si="0"/>
        <v>-48.297208178836058</v>
      </c>
      <c r="K11" s="41"/>
      <c r="L11" s="41"/>
      <c r="N11" s="77" t="s">
        <v>111</v>
      </c>
      <c r="O11" s="33" t="str" cm="1">
        <f t="array" aca="1" ref="O11" ca="1">_xlfn.TEXTJOIN(", ", TRUE, IF(D3:D25 &gt;= 75, A3:A25, ""))</f>
        <v>T31</v>
      </c>
      <c r="R11" s="77" t="s">
        <v>111</v>
      </c>
      <c r="S11" s="33" t="str" cm="1">
        <f t="array" aca="1" ref="S11" ca="1">_xlfn.TEXTJOIN(", ", TRUE, IF(H3:H25 &gt;= 75, A3:A25, ""))</f>
        <v/>
      </c>
    </row>
    <row r="12" spans="1:19" x14ac:dyDescent="0.25">
      <c r="A12" s="32" t="s">
        <v>8</v>
      </c>
      <c r="B12" s="48" cm="1">
        <f t="array" aca="1" ref="B12" ca="1">INDIRECT("'Python Impact of Optimization'!R" &amp; 3 + (ROW(A10)-1)*4)</f>
        <v>209.65886999999998</v>
      </c>
      <c r="C12" s="41" cm="1">
        <f t="array" aca="1" ref="C12" ca="1">INDIRECT("'Python Impact of Optimization'!R" &amp; 4 + (ROW(A10)-1)*4)</f>
        <v>110.22887999999999</v>
      </c>
      <c r="D12" s="41" cm="1">
        <f t="array" aca="1" ref="D12" ca="1">INDIRECT("'Python Impact of Optimization'!V" &amp; 3 + (ROW(A10)-1)*4)*100</f>
        <v>-47.424652245812446</v>
      </c>
      <c r="E12" s="22" t="s">
        <v>182</v>
      </c>
      <c r="F12" s="41" cm="1">
        <f t="array" aca="1" ref="F12" ca="1">INDIRECT("'Python Impact of Optimization'!R" &amp; 5 + (ROW(A10)-1)*4)</f>
        <v>228.52890000000002</v>
      </c>
      <c r="G12" s="41" cm="1">
        <f t="array" aca="1" ref="G12" ca="1">INDIRECT("'Python Impact of Optimization'!R" &amp; 6 + (ROW(A10)-1)*4)</f>
        <v>134.85284999999999</v>
      </c>
      <c r="H12" s="42" cm="1">
        <f t="array" aca="1" ref="H12" ca="1">INDIRECT("'Python Impact of Optimization'!V" &amp; 5 + (ROW(D10)-1)*4)*100</f>
        <v>-40.990898744097578</v>
      </c>
      <c r="I12" s="22" t="s">
        <v>182</v>
      </c>
      <c r="J12" s="40">
        <f t="shared" ca="1" si="0"/>
        <v>-44.207775494955015</v>
      </c>
      <c r="K12" s="41"/>
      <c r="L12" s="41"/>
    </row>
    <row r="13" spans="1:19" x14ac:dyDescent="0.25">
      <c r="A13" s="32" t="s">
        <v>10</v>
      </c>
      <c r="B13" s="48" cm="1">
        <f t="array" aca="1" ref="B13" ca="1">INDIRECT("'Python Impact of Optimization'!R" &amp; 3 + (ROW(A11)-1)*4)</f>
        <v>2844.1766700000003</v>
      </c>
      <c r="C13" s="41" cm="1">
        <f t="array" aca="1" ref="C13" ca="1">INDIRECT("'Python Impact of Optimization'!R" &amp; 4 + (ROW(A11)-1)*4)</f>
        <v>2814.1990999999998</v>
      </c>
      <c r="D13" s="41" cm="1">
        <f t="array" aca="1" ref="D13" ca="1">INDIRECT("'Python Impact of Optimization'!V" &amp; 3 + (ROW(A11)-1)*4)*100</f>
        <v>-1.0539981681236583</v>
      </c>
      <c r="E13" s="22" t="s">
        <v>182</v>
      </c>
      <c r="F13" s="41" cm="1">
        <f t="array" aca="1" ref="F13" ca="1">INDIRECT("'Python Impact of Optimization'!R" &amp; 5 + (ROW(A11)-1)*4)</f>
        <v>2847.2997499999997</v>
      </c>
      <c r="G13" s="41" cm="1">
        <f t="array" aca="1" ref="G13" ca="1">INDIRECT("'Python Impact of Optimization'!R" &amp; 6 + (ROW(A11)-1)*4)</f>
        <v>2697.5990400000001</v>
      </c>
      <c r="H13" s="42" cm="1">
        <f t="array" aca="1" ref="H13" ca="1">INDIRECT("'Python Impact of Optimization'!V" &amp; 5 + (ROW(D11)-1)*4)*100</f>
        <v>-5.2576378725141124</v>
      </c>
      <c r="I13" s="22" t="s">
        <v>182</v>
      </c>
      <c r="J13" s="40">
        <f t="shared" ca="1" si="0"/>
        <v>-3.1558180203188853</v>
      </c>
      <c r="K13" s="41"/>
      <c r="L13" s="41"/>
    </row>
    <row r="14" spans="1:19" x14ac:dyDescent="0.25">
      <c r="A14" s="32" t="s">
        <v>11</v>
      </c>
      <c r="B14" s="48" cm="1">
        <f t="array" aca="1" ref="B14" ca="1">INDIRECT("'Python Impact of Optimization'!R" &amp; 3 + (ROW(A12)-1)*4)</f>
        <v>2240.9827500000001</v>
      </c>
      <c r="C14" s="41" cm="1">
        <f t="array" aca="1" ref="C14" ca="1">INDIRECT("'Python Impact of Optimization'!R" &amp; 4 + (ROW(A12)-1)*4)</f>
        <v>2010.8259599999999</v>
      </c>
      <c r="D14" s="41" cm="1">
        <f t="array" aca="1" ref="D14" ca="1">INDIRECT("'Python Impact of Optimization'!V" &amp; 3 + (ROW(A12)-1)*4)*100</f>
        <v>-10.27035080925992</v>
      </c>
      <c r="E14" s="22" t="s">
        <v>183</v>
      </c>
      <c r="F14" s="41" cm="1">
        <f t="array" aca="1" ref="F14" ca="1">INDIRECT("'Python Impact of Optimization'!R" &amp; 5 + (ROW(A12)-1)*4)</f>
        <v>1987.62889</v>
      </c>
      <c r="G14" s="41" cm="1">
        <f t="array" aca="1" ref="G14" ca="1">INDIRECT("'Python Impact of Optimization'!R" &amp; 6 + (ROW(A12)-1)*4)</f>
        <v>2245.8346499999998</v>
      </c>
      <c r="H14" s="42" cm="1">
        <f t="array" aca="1" ref="H14" ca="1">INDIRECT("'Python Impact of Optimization'!V" &amp; 5 + (ROW(D12)-1)*4)*100</f>
        <v>12.990642332633826</v>
      </c>
      <c r="I14" s="22" t="s">
        <v>182</v>
      </c>
      <c r="J14" s="40">
        <f t="shared" ca="1" si="0"/>
        <v>1.3601457616869528</v>
      </c>
      <c r="K14" s="41"/>
      <c r="L14" s="41"/>
    </row>
    <row r="15" spans="1:19" x14ac:dyDescent="0.25">
      <c r="A15" s="32" t="s">
        <v>16</v>
      </c>
      <c r="B15" s="48" cm="1">
        <f t="array" aca="1" ref="B15" ca="1">INDIRECT("'Python Impact of Optimization'!R" &amp; 3 + (ROW(A13)-1)*4)</f>
        <v>5165.2540799999997</v>
      </c>
      <c r="C15" s="41" cm="1">
        <f t="array" aca="1" ref="C15" ca="1">INDIRECT("'Python Impact of Optimization'!R" &amp; 4 + (ROW(A13)-1)*4)</f>
        <v>4850.7818400000006</v>
      </c>
      <c r="D15" s="41" cm="1">
        <f t="array" aca="1" ref="D15" ca="1">INDIRECT("'Python Impact of Optimization'!V" &amp; 3 + (ROW(A13)-1)*4)*100</f>
        <v>-6.0882240278874944</v>
      </c>
      <c r="E15" s="22" t="s">
        <v>182</v>
      </c>
      <c r="F15" s="41" cm="1">
        <f t="array" aca="1" ref="F15" ca="1">INDIRECT("'Python Impact of Optimization'!R" &amp; 5 + (ROW(A13)-1)*4)</f>
        <v>5583.1192999999994</v>
      </c>
      <c r="G15" s="41" cm="1">
        <f t="array" aca="1" ref="G15" ca="1">INDIRECT("'Python Impact of Optimization'!R" &amp; 6 + (ROW(A13)-1)*4)</f>
        <v>5041.5453199999993</v>
      </c>
      <c r="H15" s="42" cm="1">
        <f t="array" aca="1" ref="H15" ca="1">INDIRECT("'Python Impact of Optimization'!V" &amp; 5 + (ROW(D13)-1)*4)*100</f>
        <v>-9.7002043284298107</v>
      </c>
      <c r="I15" s="22" t="s">
        <v>182</v>
      </c>
      <c r="J15" s="40">
        <f t="shared" ca="1" si="0"/>
        <v>-7.8942141781586521</v>
      </c>
      <c r="K15" s="41"/>
      <c r="L15" s="41"/>
    </row>
    <row r="16" spans="1:19" x14ac:dyDescent="0.25">
      <c r="A16" s="32" t="s">
        <v>17</v>
      </c>
      <c r="B16" s="48" cm="1">
        <f t="array" aca="1" ref="B16" ca="1">INDIRECT("'Python Impact of Optimization'!R" &amp; 3 + (ROW(A14)-1)*4)</f>
        <v>5131.9296000000004</v>
      </c>
      <c r="C16" s="41" cm="1">
        <f t="array" aca="1" ref="C16" ca="1">INDIRECT("'Python Impact of Optimization'!R" &amp; 4 + (ROW(A14)-1)*4)</f>
        <v>4649.9212799999996</v>
      </c>
      <c r="D16" s="41" cm="1">
        <f t="array" aca="1" ref="D16" ca="1">INDIRECT("'Python Impact of Optimization'!V" &amp; 3 + (ROW(A14)-1)*4)*100</f>
        <v>-9.3923408458292332</v>
      </c>
      <c r="E16" s="22" t="s">
        <v>182</v>
      </c>
      <c r="F16" s="41" cm="1">
        <f t="array" aca="1" ref="F16" ca="1">INDIRECT("'Python Impact of Optimization'!R" &amp; 5 + (ROW(A14)-1)*4)</f>
        <v>3838.54324</v>
      </c>
      <c r="G16" s="41" cm="1">
        <f t="array" aca="1" ref="G16" ca="1">INDIRECT("'Python Impact of Optimization'!R" &amp; 6 + (ROW(A14)-1)*4)</f>
        <v>3779.2563599999999</v>
      </c>
      <c r="H16" s="42" cm="1">
        <f t="array" aca="1" ref="H16" ca="1">INDIRECT("'Python Impact of Optimization'!V" &amp; 5 + (ROW(D14)-1)*4)*100</f>
        <v>-1.5445151009944103</v>
      </c>
      <c r="I16" s="22" t="s">
        <v>182</v>
      </c>
      <c r="J16" s="40">
        <f t="shared" ca="1" si="0"/>
        <v>-5.4684279734118215</v>
      </c>
      <c r="K16" s="41"/>
      <c r="L16" s="41"/>
    </row>
    <row r="17" spans="1:12" x14ac:dyDescent="0.25">
      <c r="A17" s="32" t="s">
        <v>20</v>
      </c>
      <c r="B17" s="48" cm="1">
        <f t="array" aca="1" ref="B17" ca="1">INDIRECT("'Python Impact of Optimization'!R" &amp; 3 + (ROW(A15)-1)*4)</f>
        <v>4722.2324000000008</v>
      </c>
      <c r="C17" s="41" cm="1">
        <f t="array" aca="1" ref="C17" ca="1">INDIRECT("'Python Impact of Optimization'!R" &amp; 4 + (ROW(A15)-1)*4)</f>
        <v>4485.3674099999998</v>
      </c>
      <c r="D17" s="41" cm="1">
        <f t="array" aca="1" ref="D17" ca="1">INDIRECT("'Python Impact of Optimization'!V" &amp; 3 + (ROW(A15)-1)*4)*100</f>
        <v>-5.0159536832621985</v>
      </c>
      <c r="E17" s="22" t="s">
        <v>182</v>
      </c>
      <c r="F17" s="41" cm="1">
        <f t="array" aca="1" ref="F17" ca="1">INDIRECT("'Python Impact of Optimization'!R" &amp; 5 + (ROW(A15)-1)*4)</f>
        <v>5460.3420300000007</v>
      </c>
      <c r="G17" s="41" cm="1">
        <f t="array" aca="1" ref="G17" ca="1">INDIRECT("'Python Impact of Optimization'!R" &amp; 6 + (ROW(A15)-1)*4)</f>
        <v>4972.1571400000003</v>
      </c>
      <c r="H17" s="42" cm="1">
        <f t="array" aca="1" ref="H17" ca="1">INDIRECT("'Python Impact of Optimization'!V" &amp; 5 + (ROW(D15)-1)*4)*100</f>
        <v>-8.9405551395468237</v>
      </c>
      <c r="I17" s="22" t="s">
        <v>183</v>
      </c>
      <c r="J17" s="40">
        <f t="shared" ca="1" si="0"/>
        <v>-6.9782544114045111</v>
      </c>
      <c r="K17" s="41"/>
      <c r="L17" s="41"/>
    </row>
    <row r="18" spans="1:12" x14ac:dyDescent="0.25">
      <c r="A18" s="32" t="s">
        <v>21</v>
      </c>
      <c r="B18" s="48" cm="1">
        <f t="array" aca="1" ref="B18" ca="1">INDIRECT("'Python Impact of Optimization'!R" &amp; 3 + (ROW(A16)-1)*4)</f>
        <v>143.29452999999998</v>
      </c>
      <c r="C18" s="41" cm="1">
        <f t="array" aca="1" ref="C18" ca="1">INDIRECT("'Python Impact of Optimization'!R" &amp; 4 + (ROW(A16)-1)*4)</f>
        <v>74.310019999999994</v>
      </c>
      <c r="D18" s="41" cm="1">
        <f t="array" aca="1" ref="D18" ca="1">INDIRECT("'Python Impact of Optimization'!V" &amp; 3 + (ROW(A16)-1)*4)*100</f>
        <v>-48.141760889267715</v>
      </c>
      <c r="E18" s="22" t="s">
        <v>183</v>
      </c>
      <c r="F18" s="41" cm="1">
        <f t="array" aca="1" ref="F18" ca="1">INDIRECT("'Python Impact of Optimization'!R" &amp; 5 + (ROW(A16)-1)*4)</f>
        <v>141.31505000000001</v>
      </c>
      <c r="G18" s="41" cm="1">
        <f t="array" aca="1" ref="G18" ca="1">INDIRECT("'Python Impact of Optimization'!R" &amp; 6 + (ROW(A16)-1)*4)</f>
        <v>91.634830000000008</v>
      </c>
      <c r="H18" s="42" cm="1">
        <f t="array" aca="1" ref="H18" ca="1">INDIRECT("'Python Impact of Optimization'!V" &amp; 5 + (ROW(D16)-1)*4)*100</f>
        <v>-35.155646903850652</v>
      </c>
      <c r="I18" s="22" t="s">
        <v>182</v>
      </c>
      <c r="J18" s="40">
        <f t="shared" ca="1" si="0"/>
        <v>-41.648703896559184</v>
      </c>
      <c r="K18" s="41"/>
      <c r="L18" s="41"/>
    </row>
    <row r="19" spans="1:12" x14ac:dyDescent="0.25">
      <c r="A19" s="32" t="s">
        <v>23</v>
      </c>
      <c r="B19" s="48" cm="1">
        <f t="array" aca="1" ref="B19" ca="1">INDIRECT("'Python Impact of Optimization'!R" &amp; 3 + (ROW(A17)-1)*4)</f>
        <v>3298.2046399999999</v>
      </c>
      <c r="C19" s="41" cm="1">
        <f t="array" aca="1" ref="C19" ca="1">INDIRECT("'Python Impact of Optimization'!R" &amp; 4 + (ROW(A17)-1)*4)</f>
        <v>8865.6992900000005</v>
      </c>
      <c r="D19" s="41" cm="1">
        <f t="array" aca="1" ref="D19" ca="1">INDIRECT("'Python Impact of Optimization'!V" &amp; 3 + (ROW(A17)-1)*4)*100</f>
        <v>168.80379654065371</v>
      </c>
      <c r="E19" s="22" t="s">
        <v>182</v>
      </c>
      <c r="F19" s="41" cm="1">
        <f t="array" aca="1" ref="F19" ca="1">INDIRECT("'Python Impact of Optimization'!R" &amp; 5 + (ROW(A17)-1)*4)</f>
        <v>7066.2501000000002</v>
      </c>
      <c r="G19" s="41" cm="1">
        <f t="array" aca="1" ref="G19" ca="1">INDIRECT("'Python Impact of Optimization'!R" &amp; 6 + (ROW(A17)-1)*4)</f>
        <v>9604.7250299999996</v>
      </c>
      <c r="H19" s="42" cm="1">
        <f t="array" aca="1" ref="H19" ca="1">INDIRECT("'Python Impact of Optimization'!V" &amp; 5 + (ROW(D17)-1)*4)*100</f>
        <v>35.923932695221175</v>
      </c>
      <c r="I19" s="22" t="s">
        <v>182</v>
      </c>
      <c r="J19" s="40">
        <f t="shared" ca="1" si="0"/>
        <v>102.36386461793744</v>
      </c>
      <c r="K19" s="41"/>
      <c r="L19" s="41"/>
    </row>
    <row r="20" spans="1:12" x14ac:dyDescent="0.25">
      <c r="A20" s="32" t="s">
        <v>25</v>
      </c>
      <c r="B20" s="48" cm="1">
        <f t="array" aca="1" ref="B20" ca="1">INDIRECT("'Python Impact of Optimization'!R" &amp; 3 + (ROW(A18)-1)*4)</f>
        <v>268.81943000000001</v>
      </c>
      <c r="C20" s="41" cm="1">
        <f t="array" aca="1" ref="C20" ca="1">INDIRECT("'Python Impact of Optimization'!R" &amp; 4 + (ROW(A18)-1)*4)</f>
        <v>108.33652000000001</v>
      </c>
      <c r="D20" s="41" cm="1">
        <f t="array" aca="1" ref="D20" ca="1">INDIRECT("'Python Impact of Optimization'!V" &amp; 3 + (ROW(A18)-1)*4)*100</f>
        <v>-59.699148234932274</v>
      </c>
      <c r="E20" s="22" t="s">
        <v>182</v>
      </c>
      <c r="F20" s="41" cm="1">
        <f t="array" aca="1" ref="F20" ca="1">INDIRECT("'Python Impact of Optimization'!R" &amp; 5 + (ROW(A18)-1)*4)</f>
        <v>229.88498999999999</v>
      </c>
      <c r="G20" s="41" cm="1">
        <f t="array" aca="1" ref="G20" ca="1">INDIRECT("'Python Impact of Optimization'!R" &amp; 6 + (ROW(A18)-1)*4)</f>
        <v>135.40287999999998</v>
      </c>
      <c r="H20" s="42" cm="1">
        <f t="array" aca="1" ref="H20" ca="1">INDIRECT("'Python Impact of Optimization'!V" &amp; 5 + (ROW(D18)-1)*4)*100</f>
        <v>-41.099729912770734</v>
      </c>
      <c r="I20" s="22" t="s">
        <v>182</v>
      </c>
      <c r="J20" s="40">
        <f t="shared" ca="1" si="0"/>
        <v>-50.399439073851504</v>
      </c>
      <c r="K20" s="41"/>
      <c r="L20" s="41"/>
    </row>
    <row r="21" spans="1:12" x14ac:dyDescent="0.25">
      <c r="A21" s="32" t="s">
        <v>26</v>
      </c>
      <c r="B21" s="48" cm="1">
        <f t="array" aca="1" ref="B21" ca="1">INDIRECT("'Python Impact of Optimization'!R" &amp; 3 + (ROW(A19)-1)*4)</f>
        <v>299.62704000000002</v>
      </c>
      <c r="C21" s="41" cm="1">
        <f t="array" aca="1" ref="C21" ca="1">INDIRECT("'Python Impact of Optimization'!R" &amp; 4 + (ROW(A19)-1)*4)</f>
        <v>161.10149999999999</v>
      </c>
      <c r="D21" s="41" cm="1">
        <f t="array" aca="1" ref="D21" ca="1">INDIRECT("'Python Impact of Optimization'!V" &amp; 3 + (ROW(A19)-1)*4)*100</f>
        <v>-46.232656438484334</v>
      </c>
      <c r="E21" s="22" t="s">
        <v>182</v>
      </c>
      <c r="F21" s="41" cm="1">
        <f t="array" aca="1" ref="F21" ca="1">INDIRECT("'Python Impact of Optimization'!R" &amp; 5 + (ROW(A19)-1)*4)</f>
        <v>283.73786999999999</v>
      </c>
      <c r="G21" s="41" cm="1">
        <f t="array" aca="1" ref="G21" ca="1">INDIRECT("'Python Impact of Optimization'!R" &amp; 6 + (ROW(A19)-1)*4)</f>
        <v>155.00062</v>
      </c>
      <c r="H21" s="42" cm="1">
        <f t="array" aca="1" ref="H21" ca="1">INDIRECT("'Python Impact of Optimization'!V" &amp; 5 + (ROW(D19)-1)*4)*100</f>
        <v>-45.371895545702095</v>
      </c>
      <c r="I21" s="22" t="s">
        <v>182</v>
      </c>
      <c r="J21" s="40">
        <f t="shared" ca="1" si="0"/>
        <v>-45.802275992093215</v>
      </c>
      <c r="K21" s="41"/>
      <c r="L21" s="41"/>
    </row>
    <row r="22" spans="1:12" x14ac:dyDescent="0.25">
      <c r="A22" s="32" t="s">
        <v>29</v>
      </c>
      <c r="B22" s="48" cm="1">
        <f t="array" aca="1" ref="B22" ca="1">INDIRECT("'Python Impact of Optimization'!R" &amp; 3 + (ROW(A20)-1)*4)</f>
        <v>2177.1170400000001</v>
      </c>
      <c r="C22" s="41" cm="1">
        <f t="array" aca="1" ref="C22" ca="1">INDIRECT("'Python Impact of Optimization'!R" &amp; 4 + (ROW(A20)-1)*4)</f>
        <v>1422.1744900000001</v>
      </c>
      <c r="D22" s="41" cm="1">
        <f t="array" aca="1" ref="D22" ca="1">INDIRECT("'Python Impact of Optimization'!V" &amp; 3 + (ROW(A20)-1)*4)*100</f>
        <v>-34.676250111018376</v>
      </c>
      <c r="E22" s="22" t="s">
        <v>182</v>
      </c>
      <c r="F22" s="41" cm="1">
        <f t="array" aca="1" ref="F22" ca="1">INDIRECT("'Python Impact of Optimization'!R" &amp; 5 + (ROW(A20)-1)*4)</f>
        <v>1859.8302999999999</v>
      </c>
      <c r="G22" s="41" cm="1">
        <f t="array" aca="1" ref="G22" ca="1">INDIRECT("'Python Impact of Optimization'!R" &amp; 6 + (ROW(A20)-1)*4)</f>
        <v>1405.18128</v>
      </c>
      <c r="H22" s="42" cm="1">
        <f t="array" aca="1" ref="H22" ca="1">INDIRECT("'Python Impact of Optimization'!V" &amp; 5 + (ROW(D20)-1)*4)*100</f>
        <v>-24.445726042854549</v>
      </c>
      <c r="I22" s="22" t="s">
        <v>182</v>
      </c>
      <c r="J22" s="40">
        <f t="shared" ca="1" si="0"/>
        <v>-29.560988076936461</v>
      </c>
      <c r="K22" s="41"/>
      <c r="L22" s="41"/>
    </row>
    <row r="23" spans="1:12" x14ac:dyDescent="0.25">
      <c r="A23" s="32" t="s">
        <v>33</v>
      </c>
      <c r="B23" s="48" cm="1">
        <f t="array" aca="1" ref="B23" ca="1">INDIRECT("'Python Impact of Optimization'!R" &amp; 3 + (ROW(A21)-1)*4)</f>
        <v>6385.2420600000005</v>
      </c>
      <c r="C23" s="41" cm="1">
        <f t="array" aca="1" ref="C23" ca="1">INDIRECT("'Python Impact of Optimization'!R" &amp; 4 + (ROW(A21)-1)*4)</f>
        <v>4796.0123999999996</v>
      </c>
      <c r="D23" s="41" cm="1">
        <f t="array" aca="1" ref="D23" ca="1">INDIRECT("'Python Impact of Optimization'!V" &amp; 3 + (ROW(A21)-1)*4)*100</f>
        <v>-24.889105926862872</v>
      </c>
      <c r="E23" s="22" t="s">
        <v>182</v>
      </c>
      <c r="F23" s="41" cm="1">
        <f t="array" aca="1" ref="F23" ca="1">INDIRECT("'Python Impact of Optimization'!R" &amp; 5 + (ROW(A21)-1)*4)</f>
        <v>3978.8919000000001</v>
      </c>
      <c r="G23" s="41" cm="1">
        <f t="array" aca="1" ref="G23" ca="1">INDIRECT("'Python Impact of Optimization'!R" &amp; 6 + (ROW(A21)-1)*4)</f>
        <v>4427.2747199999994</v>
      </c>
      <c r="H23" s="42" cm="1">
        <f t="array" aca="1" ref="H23" ca="1">INDIRECT("'Python Impact of Optimization'!V" &amp; 5 + (ROW(D21)-1)*4)*100</f>
        <v>11.269037492574235</v>
      </c>
      <c r="I23" s="22" t="s">
        <v>182</v>
      </c>
      <c r="J23" s="40">
        <f t="shared" ca="1" si="0"/>
        <v>-6.8100342171443184</v>
      </c>
      <c r="K23" s="41"/>
      <c r="L23" s="41"/>
    </row>
    <row r="24" spans="1:12" x14ac:dyDescent="0.25">
      <c r="A24" s="32" t="s">
        <v>37</v>
      </c>
      <c r="B24" s="48" cm="1">
        <f t="array" aca="1" ref="B24" ca="1">INDIRECT("'Python Impact of Optimization'!R" &amp; 3 + (ROW(A22)-1)*4)</f>
        <v>167.60376000000002</v>
      </c>
      <c r="C24" s="41" cm="1">
        <f t="array" aca="1" ref="C24" ca="1">INDIRECT("'Python Impact of Optimization'!R" &amp; 4 + (ROW(A22)-1)*4)</f>
        <v>63.077730000000003</v>
      </c>
      <c r="D24" s="41" cm="1">
        <f t="array" aca="1" ref="D24" ca="1">INDIRECT("'Python Impact of Optimization'!V" &amp; 3 + (ROW(A22)-1)*4)*100</f>
        <v>-62.364967229852134</v>
      </c>
      <c r="E24" s="22" t="s">
        <v>182</v>
      </c>
      <c r="F24" s="41" cm="1">
        <f t="array" aca="1" ref="F24" ca="1">INDIRECT("'Python Impact of Optimization'!R" &amp; 5 + (ROW(A22)-1)*4)</f>
        <v>173.49093000000002</v>
      </c>
      <c r="G24" s="41" cm="1">
        <f t="array" aca="1" ref="G24" ca="1">INDIRECT("'Python Impact of Optimization'!R" &amp; 6 + (ROW(A22)-1)*4)</f>
        <v>64.606750000000005</v>
      </c>
      <c r="H24" s="42" cm="1">
        <f t="array" aca="1" ref="H24" ca="1">INDIRECT("'Python Impact of Optimization'!V" &amp; 5 + (ROW(D22)-1)*4)*100</f>
        <v>-62.760733370903019</v>
      </c>
      <c r="I24" s="22" t="s">
        <v>182</v>
      </c>
      <c r="J24" s="40">
        <f t="shared" ca="1" si="0"/>
        <v>-62.562850300377576</v>
      </c>
      <c r="K24" s="41"/>
      <c r="L24" s="41"/>
    </row>
    <row r="25" spans="1:12" x14ac:dyDescent="0.25">
      <c r="A25" s="32" t="s">
        <v>39</v>
      </c>
      <c r="B25" s="48" cm="1">
        <f t="array" aca="1" ref="B25" ca="1">INDIRECT("'Python Impact of Optimization'!R" &amp; 3 + (ROW(A23)-1)*4)</f>
        <v>2766.9999000000003</v>
      </c>
      <c r="C25" s="41" cm="1">
        <f t="array" aca="1" ref="C25" ca="1">INDIRECT("'Python Impact of Optimization'!R" &amp; 4 + (ROW(A23)-1)*4)</f>
        <v>2451.4294</v>
      </c>
      <c r="D25" s="41" cm="1">
        <f t="array" aca="1" ref="D25" ca="1">INDIRECT("'Python Impact of Optimization'!V" &amp; 3 + (ROW(A23)-1)*4)*100</f>
        <v>-11.404788991860833</v>
      </c>
      <c r="E25" s="22" t="s">
        <v>182</v>
      </c>
      <c r="F25" s="41" cm="1">
        <f t="array" aca="1" ref="F25" ca="1">INDIRECT("'Python Impact of Optimization'!R" &amp; 5 + (ROW(A23)-1)*4)</f>
        <v>1754.3633199999999</v>
      </c>
      <c r="G25" s="41" cm="1">
        <f t="array" aca="1" ref="G25" ca="1">INDIRECT("'Python Impact of Optimization'!R" &amp; 6 + (ROW(A23)-1)*4)</f>
        <v>1736.29456</v>
      </c>
      <c r="H25" s="42" cm="1">
        <f t="array" aca="1" ref="H25" ca="1">INDIRECT("'Python Impact of Optimization'!V" &amp; 5 + (ROW(D23)-1)*4)*100</f>
        <v>-1.0299326139582015</v>
      </c>
      <c r="I25" s="22" t="s">
        <v>182</v>
      </c>
      <c r="J25" s="40">
        <f t="shared" ca="1" si="0"/>
        <v>-6.2173608029095178</v>
      </c>
      <c r="K25" s="41"/>
      <c r="L25" s="41"/>
    </row>
    <row r="28" spans="1:12" x14ac:dyDescent="0.25">
      <c r="C28" s="1"/>
    </row>
    <row r="32" spans="1:12" x14ac:dyDescent="0.25">
      <c r="D32" s="118" t="s">
        <v>92</v>
      </c>
      <c r="E32" s="119"/>
      <c r="F32" s="119"/>
      <c r="G32" s="120"/>
      <c r="I32" s="118" t="s">
        <v>93</v>
      </c>
      <c r="J32" s="119"/>
      <c r="K32" s="119"/>
      <c r="L32" s="120"/>
    </row>
    <row r="33" spans="4:12" x14ac:dyDescent="0.25">
      <c r="D33" s="38" t="s">
        <v>100</v>
      </c>
      <c r="E33" s="58" t="s">
        <v>190</v>
      </c>
      <c r="F33" s="58" t="s">
        <v>191</v>
      </c>
      <c r="G33" s="59" t="s">
        <v>192</v>
      </c>
      <c r="I33" s="38" t="s">
        <v>100</v>
      </c>
      <c r="J33" s="58" t="s">
        <v>190</v>
      </c>
      <c r="K33" s="58" t="s">
        <v>191</v>
      </c>
      <c r="L33" s="59" t="s">
        <v>192</v>
      </c>
    </row>
    <row r="34" spans="4:12" x14ac:dyDescent="0.25">
      <c r="D34" s="67" t="s">
        <v>187</v>
      </c>
      <c r="E34" s="1" cm="1">
        <f t="array" aca="1" ref="E34" ca="1">AVERAGE(_xlfn._xlws.FILTER($D$3:$D$25, ISNUMBER(MATCH($A$3:$A$25, _xlfn.TEXTSPLIT(_xlfn.TEXTJOIN(", ", TRUE, O5:O7), ", "), 0))))</f>
        <v>-33.00609705230498</v>
      </c>
      <c r="F34" s="1" cm="1">
        <f t="array" aca="1" ref="F34" ca="1">MIN(_xlfn._xlws.FILTER($D$3:$D$25, ISNUMBER(MATCH($A$3:$A$25, _xlfn.TEXTSPLIT(_xlfn.TEXTJOIN(", ", TRUE, O5:O7), ", "), 0))))</f>
        <v>-62.364967229852134</v>
      </c>
      <c r="G34" s="64" cm="1">
        <f t="array" aca="1" ref="G34" ca="1">MAX(_xlfn._xlws.FILTER($D$3:$D$25, ISNUMBER(MATCH($A$3:$A$25, _xlfn.TEXTSPLIT(_xlfn.TEXTJOIN(", ", TRUE, O5:O7), ", "), 0))))</f>
        <v>-5.0159536832621985</v>
      </c>
      <c r="I34" s="67" t="s">
        <v>187</v>
      </c>
      <c r="J34" s="1" cm="1">
        <f t="array" aca="1" ref="J34" ca="1">AVERAGE(_xlfn._xlws.FILTER($H$3:$H$25, ISNUMBER(MATCH($A$3:$A$25, _xlfn.TEXTSPLIT(_xlfn.TEXTJOIN(", ", TRUE, S5:S7), ", "), 0))))</f>
        <v>-33.54015634126192</v>
      </c>
      <c r="K34" s="1" cm="1">
        <f t="array" aca="1" ref="K34" ca="1">MIN(_xlfn._xlws.FILTER($H$3:$H$25, ISNUMBER(MATCH($A$3:$A$25, _xlfn.TEXTSPLIT(_xlfn.TEXTJOIN(", ", TRUE, S5:S7), ", "), 0))))</f>
        <v>-64.379228809885262</v>
      </c>
      <c r="L34" s="64" cm="1">
        <f t="array" aca="1" ref="L34" ca="1">MAX(_xlfn._xlws.FILTER($H$3:$H$25, ISNUMBER(MATCH($A$3:$A$25, _xlfn.TEXTSPLIT(_xlfn.TEXTJOIN(", ", TRUE, S5:S7), ", "), 0))))</f>
        <v>-5.2576378725141124</v>
      </c>
    </row>
    <row r="35" spans="4:12" x14ac:dyDescent="0.25">
      <c r="D35" s="68" t="s">
        <v>188</v>
      </c>
      <c r="E35" s="1" cm="1">
        <f t="array" aca="1" ref="E35" ca="1">AVERAGE(_xlfn._xlws.FILTER($D$3:$D$25, ISNUMBER(MATCH($A$3:$A$25, _xlfn.TEXTSPLIT(_xlfn.TEXTJOIN(", ", TRUE, O8), ", "), 0))))</f>
        <v>-1.0539981681236583</v>
      </c>
      <c r="F35" s="1" cm="1">
        <f t="array" aca="1" ref="F35" ca="1">MIN(_xlfn._xlws.FILTER($D$3:$D$25, ISNUMBER(MATCH($A$3:$A$25, _xlfn.TEXTSPLIT(_xlfn.TEXTJOIN(", ", TRUE, O8), ", "), 0))))</f>
        <v>-1.0539981681236583</v>
      </c>
      <c r="G35" s="64" cm="1">
        <f t="array" aca="1" ref="G35" ca="1">MAX(_xlfn._xlws.FILTER($D$3:$D$25, ISNUMBER(MATCH($A$3:$A$25, _xlfn.TEXTSPLIT(_xlfn.TEXTJOIN(", ", TRUE, O8), ", "), 0))))</f>
        <v>-1.0539981681236583</v>
      </c>
      <c r="I35" s="68" t="s">
        <v>188</v>
      </c>
      <c r="J35" s="1" cm="1">
        <f t="array" aca="1" ref="J35" ca="1">AVERAGE(_xlfn._xlws.FILTER($H$3:$H$25, ISNUMBER(MATCH($A$3:$A$25, _xlfn.TEXTSPLIT(_xlfn.TEXTJOIN(", ", TRUE, S8), ", "), 0))))</f>
        <v>-0.88825675243242397</v>
      </c>
      <c r="K35" s="1" cm="1">
        <f t="array" aca="1" ref="K35" ca="1">MIN(_xlfn._xlws.FILTER($H$3:$H$25, ISNUMBER(MATCH($A$3:$A$25, _xlfn.TEXTSPLIT(_xlfn.TEXTJOIN(", ", TRUE, S8), ", "), 0))))</f>
        <v>-1.5445151009944103</v>
      </c>
      <c r="L35" s="64" cm="1">
        <f t="array" aca="1" ref="L35" ca="1">MAX(_xlfn._xlws.FILTER($H$3:$H$25, ISNUMBER(MATCH($A$3:$A$25, _xlfn.TEXTSPLIT(_xlfn.TEXTJOIN(", ", TRUE, S8), ", "), 0))))</f>
        <v>-9.0322542344660126E-2</v>
      </c>
    </row>
    <row r="36" spans="4:12" x14ac:dyDescent="0.25">
      <c r="D36" s="6" t="s">
        <v>189</v>
      </c>
      <c r="E36" s="66" cm="1">
        <f t="array" aca="1" ref="E36" ca="1">AVERAGE(_xlfn._xlws.FILTER($D$3:$D$25, ISNUMBER(MATCH($A$3:$A$25, _xlfn.TEXTSPLIT(_xlfn.TEXTJOIN(", ", TRUE, O9:O11), ", "), 0))))</f>
        <v>105.16360781037595</v>
      </c>
      <c r="F36" s="66" cm="1">
        <f t="array" aca="1" ref="F36" ca="1">MIN(_xlfn._xlws.FILTER($D$3:$D$25, ISNUMBER(MATCH($A$3:$A$25, _xlfn.TEXTSPLIT(_xlfn.TEXTJOIN(", ", TRUE, O9:O11), ", "), 0))))</f>
        <v>41.523419080098186</v>
      </c>
      <c r="G36" s="65" cm="1">
        <f t="array" aca="1" ref="G36" ca="1">MAX(_xlfn._xlws.FILTER($D$3:$D$25, ISNUMBER(MATCH($A$3:$A$25, _xlfn.TEXTSPLIT(_xlfn.TEXTJOIN(", ", TRUE, O9:O11), ", "), 0))))</f>
        <v>168.80379654065371</v>
      </c>
      <c r="I36" s="6" t="s">
        <v>189</v>
      </c>
      <c r="J36" s="66" cm="1">
        <f t="array" aca="1" ref="J36" ca="1">AVERAGE(_xlfn._xlws.FILTER($H$3:$H$25, ISNUMBER(MATCH($A$3:$A$25, _xlfn.TEXTSPLIT(_xlfn.TEXTJOIN(", ", TRUE, S9:S11), ", "), 0))))</f>
        <v>18.501538447174823</v>
      </c>
      <c r="K36" s="66" cm="1">
        <f t="array" aca="1" ref="K36" ca="1">MIN(_xlfn._xlws.FILTER($H$3:$H$25, ISNUMBER(MATCH($A$3:$A$25, _xlfn.TEXTSPLIT(_xlfn.TEXTJOIN(", ", TRUE, S9:S11), ", "), 0))))</f>
        <v>11.269037492574235</v>
      </c>
      <c r="L36" s="65" cm="1">
        <f t="array" aca="1" ref="L36" ca="1">MAX(_xlfn._xlws.FILTER($H$3:$H$25, ISNUMBER(MATCH($A$3:$A$25, _xlfn.TEXTSPLIT(_xlfn.TEXTJOIN(", ", TRUE, S9:S11), ", "), 0))))</f>
        <v>35.923932695221175</v>
      </c>
    </row>
  </sheetData>
  <mergeCells count="6">
    <mergeCell ref="N3:O3"/>
    <mergeCell ref="R3:S3"/>
    <mergeCell ref="B1:E1"/>
    <mergeCell ref="F1:I1"/>
    <mergeCell ref="D32:G32"/>
    <mergeCell ref="I32:L32"/>
  </mergeCells>
  <conditionalFormatting sqref="D3:D25">
    <cfRule type="expression" dxfId="27" priority="8">
      <formula>AND(D3 &gt; -3, D3 &lt; 3)</formula>
    </cfRule>
    <cfRule type="expression" dxfId="26" priority="9">
      <formula>AND(D3 &gt; -25, D3 &lt;= -3)</formula>
    </cfRule>
    <cfRule type="expression" dxfId="25" priority="10">
      <formula>AND(D3 &gt; -75, D3 &lt;= -25)</formula>
    </cfRule>
    <cfRule type="expression" dxfId="24" priority="11">
      <formula>D3 &lt;= -75</formula>
    </cfRule>
    <cfRule type="expression" dxfId="23" priority="12">
      <formula>AND(D3 &lt; 25, D3 &gt;= 3)</formula>
    </cfRule>
    <cfRule type="expression" dxfId="22" priority="13">
      <formula>AND(D3 &lt; 75, D3 &gt;= 25)</formula>
    </cfRule>
    <cfRule type="expression" dxfId="21" priority="14">
      <formula>D3 &gt;= 75</formula>
    </cfRule>
  </conditionalFormatting>
  <conditionalFormatting sqref="H3:H25">
    <cfRule type="expression" dxfId="20" priority="1">
      <formula>AND(H3 &gt; -3, H3 &lt; 3)</formula>
    </cfRule>
    <cfRule type="expression" dxfId="19" priority="2">
      <formula>AND(H3 &gt; -25, H3 &lt;= -3)</formula>
    </cfRule>
    <cfRule type="expression" dxfId="18" priority="3">
      <formula>AND(H3 &gt; -75, H3 &lt;= -25)</formula>
    </cfRule>
    <cfRule type="expression" dxfId="17" priority="4">
      <formula>H3 &lt;= -75</formula>
    </cfRule>
    <cfRule type="expression" dxfId="16" priority="5">
      <formula>AND(H3 &lt; 25, H3 &gt;= 3)</formula>
    </cfRule>
    <cfRule type="expression" dxfId="15" priority="6">
      <formula>AND(H3 &lt; 75, H3 &gt;= 25)</formula>
    </cfRule>
    <cfRule type="expression" dxfId="14" priority="7">
      <formula>H3 &gt;= 75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89C07-E01D-4A55-B566-73A38E4D18E8}">
  <dimension ref="A2:B48"/>
  <sheetViews>
    <sheetView topLeftCell="A22" zoomScale="115" zoomScaleNormal="115" workbookViewId="0">
      <selection activeCell="E46" sqref="E46"/>
    </sheetView>
  </sheetViews>
  <sheetFormatPr baseColWidth="10" defaultColWidth="11.42578125" defaultRowHeight="15" x14ac:dyDescent="0.25"/>
  <cols>
    <col min="1" max="1" width="44.140625" customWidth="1"/>
    <col min="2" max="2" width="9.42578125" style="3" bestFit="1" customWidth="1"/>
    <col min="3" max="3" width="8.5703125" customWidth="1"/>
    <col min="6" max="9" width="11.28515625" customWidth="1"/>
    <col min="10" max="10" width="31.85546875" customWidth="1"/>
  </cols>
  <sheetData>
    <row r="2" spans="1:2" x14ac:dyDescent="0.25">
      <c r="A2" s="137" t="s">
        <v>117</v>
      </c>
      <c r="B2" s="137"/>
    </row>
    <row r="3" spans="1:2" x14ac:dyDescent="0.25">
      <c r="A3" s="5" t="s">
        <v>67</v>
      </c>
      <c r="B3" s="4">
        <f>COUNTIFS('C Impact of Technique'!$Q$3:$Q$94,"&lt;=-0.03")</f>
        <v>27</v>
      </c>
    </row>
    <row r="4" spans="1:2" x14ac:dyDescent="0.25">
      <c r="A4" s="5" t="s">
        <v>116</v>
      </c>
      <c r="B4" s="4">
        <f>COUNTIFS('C Impact of Technique'!$Q$3:$Q$94,"&gt;-0.03",'C Impact of Technique'!$Q$3:$Q$94,"&lt;0.03")</f>
        <v>3</v>
      </c>
    </row>
    <row r="5" spans="1:2" x14ac:dyDescent="0.25">
      <c r="A5" s="5" t="s">
        <v>68</v>
      </c>
      <c r="B5" s="4">
        <f>COUNTIFS('C Impact of Technique'!$Q$3:$Q$94,"&gt;=0.03")</f>
        <v>16</v>
      </c>
    </row>
    <row r="6" spans="1:2" x14ac:dyDescent="0.25">
      <c r="A6" s="5" t="s">
        <v>69</v>
      </c>
      <c r="B6" s="4">
        <f>SUM(B3:B5)</f>
        <v>46</v>
      </c>
    </row>
    <row r="9" spans="1:2" x14ac:dyDescent="0.25">
      <c r="A9" s="137" t="s">
        <v>118</v>
      </c>
      <c r="B9" s="137"/>
    </row>
    <row r="10" spans="1:2" x14ac:dyDescent="0.25">
      <c r="A10" s="5" t="s">
        <v>67</v>
      </c>
      <c r="B10" s="4">
        <f>COUNTIFS('C Impact of Technique'!$Q$3:$Q$94,"&lt;=-0.03",'C Impact of Technique'!$B$3:$B$94,"O0")</f>
        <v>15</v>
      </c>
    </row>
    <row r="11" spans="1:2" x14ac:dyDescent="0.25">
      <c r="A11" s="5" t="s">
        <v>116</v>
      </c>
      <c r="B11" s="4">
        <f>COUNTIFS('C Impact of Technique'!$Q$3:$Q$94,"&gt;-0.03",'C Impact of Technique'!$Q$3:$Q$94,"&lt;0.03",'C Impact of Technique'!$B$3:$B$94,"O0")</f>
        <v>2</v>
      </c>
    </row>
    <row r="12" spans="1:2" x14ac:dyDescent="0.25">
      <c r="A12" s="5" t="s">
        <v>68</v>
      </c>
      <c r="B12" s="4">
        <f>COUNTIFS('C Impact of Technique'!$Q$3:$Q$94,"&gt;=0.03",'C Impact of Technique'!$B$3:$B$94,"O0")</f>
        <v>6</v>
      </c>
    </row>
    <row r="13" spans="1:2" x14ac:dyDescent="0.25">
      <c r="A13" s="5" t="s">
        <v>69</v>
      </c>
      <c r="B13" s="4">
        <f>SUM(B10:B12)</f>
        <v>23</v>
      </c>
    </row>
    <row r="16" spans="1:2" x14ac:dyDescent="0.25">
      <c r="A16" s="137" t="s">
        <v>119</v>
      </c>
      <c r="B16" s="137"/>
    </row>
    <row r="17" spans="1:2" x14ac:dyDescent="0.25">
      <c r="A17" s="5" t="s">
        <v>67</v>
      </c>
      <c r="B17" s="4">
        <f>COUNTIFS('C Impact of Technique'!$Q$3:$Q$94,"&lt;=-0.03",'C Impact of Technique'!$B$3:$B$94,"O3")</f>
        <v>12</v>
      </c>
    </row>
    <row r="18" spans="1:2" x14ac:dyDescent="0.25">
      <c r="A18" s="5" t="s">
        <v>116</v>
      </c>
      <c r="B18" s="4">
        <f>COUNTIFS('C Impact of Technique'!$Q$3:$Q$94,"&gt;-0.03",'C Impact of Technique'!$Q$3:$Q$94,"&lt;0.03",'C Impact of Technique'!$B$3:$B$94,"O3")</f>
        <v>1</v>
      </c>
    </row>
    <row r="19" spans="1:2" x14ac:dyDescent="0.25">
      <c r="A19" s="5" t="s">
        <v>68</v>
      </c>
      <c r="B19" s="4">
        <f>COUNTIFS('C Impact of Technique'!$Q$3:$Q$94,"&gt;=0.03",'C Impact of Technique'!$B$3:$B$94,"O3")</f>
        <v>10</v>
      </c>
    </row>
    <row r="20" spans="1:2" x14ac:dyDescent="0.25">
      <c r="A20" s="5" t="s">
        <v>69</v>
      </c>
      <c r="B20" s="4">
        <f>SUM(B17:B19)</f>
        <v>23</v>
      </c>
    </row>
    <row r="23" spans="1:2" x14ac:dyDescent="0.25">
      <c r="A23" s="137" t="s">
        <v>122</v>
      </c>
      <c r="B23" s="137"/>
    </row>
    <row r="24" spans="1:2" x14ac:dyDescent="0.25">
      <c r="A24" s="5" t="s">
        <v>67</v>
      </c>
      <c r="B24" s="4">
        <f>COUNTIFS('Python Impact of Technique'!$V$3:$V$94,"&lt;=-0.03")</f>
        <v>28</v>
      </c>
    </row>
    <row r="25" spans="1:2" x14ac:dyDescent="0.25">
      <c r="A25" s="5" t="s">
        <v>116</v>
      </c>
      <c r="B25" s="4">
        <f>COUNTIFS('Python Impact of Technique'!$V$3:$V$94,"&gt;-0.03",'Python Impact of Technique'!$V$3:$V$94,"&lt;0.03")</f>
        <v>7</v>
      </c>
    </row>
    <row r="26" spans="1:2" x14ac:dyDescent="0.25">
      <c r="A26" s="5" t="s">
        <v>68</v>
      </c>
      <c r="B26" s="4">
        <f>COUNTIFS('Python Impact of Technique'!$V$3:$V$94,"&gt;=0.03")</f>
        <v>11</v>
      </c>
    </row>
    <row r="27" spans="1:2" x14ac:dyDescent="0.25">
      <c r="A27" s="5" t="s">
        <v>69</v>
      </c>
      <c r="B27" s="4">
        <f>SUM(B24:B26)</f>
        <v>46</v>
      </c>
    </row>
    <row r="30" spans="1:2" x14ac:dyDescent="0.25">
      <c r="A30" s="137" t="s">
        <v>120</v>
      </c>
      <c r="B30" s="137"/>
    </row>
    <row r="31" spans="1:2" x14ac:dyDescent="0.25">
      <c r="A31" s="5" t="s">
        <v>67</v>
      </c>
      <c r="B31" s="4">
        <f>COUNTIFS('Python Impact of Technique'!$V$3:$V$94,"&lt;=-0.03",'Python Impact of Technique'!$D$3:$D$94,"Interpreter")</f>
        <v>16</v>
      </c>
    </row>
    <row r="32" spans="1:2" x14ac:dyDescent="0.25">
      <c r="A32" s="5" t="s">
        <v>116</v>
      </c>
      <c r="B32" s="4">
        <f>COUNTIFS('Python Impact of Technique'!$V$3:$V$94,"&gt;-0.03",'Python Impact of Technique'!$V$3:$V$94,"&lt;0.03",'Python Impact of Technique'!$D$3:$D$94,"Interpreter")</f>
        <v>3</v>
      </c>
    </row>
    <row r="33" spans="1:2" x14ac:dyDescent="0.25">
      <c r="A33" s="5" t="s">
        <v>68</v>
      </c>
      <c r="B33" s="4">
        <f>COUNTIFS('Python Impact of Technique'!$V$3:$V$94,"&gt;=0.03",'Python Impact of Technique'!$D$3:$D$94,"Interpreter")</f>
        <v>4</v>
      </c>
    </row>
    <row r="34" spans="1:2" x14ac:dyDescent="0.25">
      <c r="A34" s="5" t="s">
        <v>69</v>
      </c>
      <c r="B34" s="4">
        <f>SUM(B31:B33)</f>
        <v>23</v>
      </c>
    </row>
    <row r="37" spans="1:2" x14ac:dyDescent="0.25">
      <c r="A37" s="137" t="s">
        <v>121</v>
      </c>
      <c r="B37" s="137"/>
    </row>
    <row r="38" spans="1:2" x14ac:dyDescent="0.25">
      <c r="A38" s="5" t="s">
        <v>67</v>
      </c>
      <c r="B38" s="4">
        <f>COUNTIFS('Python Impact of Technique'!$V$3:$V$94,"&lt;=-0.03",'Python Impact of Technique'!$D$3:$D$94,"Nuitka")</f>
        <v>12</v>
      </c>
    </row>
    <row r="39" spans="1:2" x14ac:dyDescent="0.25">
      <c r="A39" s="5" t="s">
        <v>116</v>
      </c>
      <c r="B39" s="4">
        <f>COUNTIFS('Python Impact of Technique'!$V$3:$V$94,"&gt;-0.03",'Python Impact of Technique'!$V$3:$V$94,"&lt;0.03",'Python Impact of Technique'!$D$3:$D$94,"Nuitka")</f>
        <v>4</v>
      </c>
    </row>
    <row r="40" spans="1:2" x14ac:dyDescent="0.25">
      <c r="A40" s="5" t="s">
        <v>68</v>
      </c>
      <c r="B40" s="4">
        <f>COUNTIFS('Python Impact of Technique'!$V$3:$V$101,"&gt;=0.03",'Python Impact of Technique'!$D$3:$D$101,"Nuitka")</f>
        <v>7</v>
      </c>
    </row>
    <row r="41" spans="1:2" x14ac:dyDescent="0.25">
      <c r="A41" s="5" t="s">
        <v>69</v>
      </c>
      <c r="B41" s="4">
        <f>SUM(B38:B40)</f>
        <v>23</v>
      </c>
    </row>
    <row r="44" spans="1:2" x14ac:dyDescent="0.25">
      <c r="A44" s="135" t="s">
        <v>196</v>
      </c>
      <c r="B44" s="136"/>
    </row>
    <row r="45" spans="1:2" x14ac:dyDescent="0.25">
      <c r="A45" s="5" t="s">
        <v>67</v>
      </c>
      <c r="B45" s="4">
        <f>B3+B24</f>
        <v>55</v>
      </c>
    </row>
    <row r="46" spans="1:2" x14ac:dyDescent="0.25">
      <c r="A46" s="5" t="s">
        <v>116</v>
      </c>
      <c r="B46" s="4">
        <f>B4+B25</f>
        <v>10</v>
      </c>
    </row>
    <row r="47" spans="1:2" x14ac:dyDescent="0.25">
      <c r="A47" s="5" t="s">
        <v>68</v>
      </c>
      <c r="B47" s="4">
        <f>B5+B26</f>
        <v>27</v>
      </c>
    </row>
    <row r="48" spans="1:2" x14ac:dyDescent="0.25">
      <c r="A48" s="5" t="s">
        <v>69</v>
      </c>
      <c r="B48" s="4">
        <f>SUM(B45:B47)</f>
        <v>92</v>
      </c>
    </row>
  </sheetData>
  <mergeCells count="7">
    <mergeCell ref="A44:B44"/>
    <mergeCell ref="A2:B2"/>
    <mergeCell ref="A23:B23"/>
    <mergeCell ref="A30:B30"/>
    <mergeCell ref="A37:B37"/>
    <mergeCell ref="A9:B9"/>
    <mergeCell ref="A16:B1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D88B-1634-4BF9-B561-8104B67703DB}">
  <dimension ref="A1:L58"/>
  <sheetViews>
    <sheetView zoomScaleNormal="100" workbookViewId="0">
      <selection activeCell="I25" sqref="I25"/>
    </sheetView>
  </sheetViews>
  <sheetFormatPr baseColWidth="10" defaultColWidth="9.140625" defaultRowHeight="15" x14ac:dyDescent="0.25"/>
  <cols>
    <col min="1" max="1" width="12.5703125" bestFit="1" customWidth="1"/>
    <col min="2" max="2" width="12" customWidth="1"/>
    <col min="3" max="3" width="13.7109375" bestFit="1" customWidth="1"/>
    <col min="4" max="5" width="13.7109375" customWidth="1"/>
    <col min="6" max="6" width="21.28515625" customWidth="1"/>
    <col min="7" max="7" width="26.28515625" customWidth="1"/>
    <col min="8" max="8" width="18" customWidth="1"/>
    <col min="9" max="9" width="29.28515625" bestFit="1" customWidth="1"/>
    <col min="10" max="10" width="32.28515625" bestFit="1" customWidth="1"/>
    <col min="11" max="11" width="33" bestFit="1" customWidth="1"/>
    <col min="12" max="12" width="13.7109375" bestFit="1" customWidth="1"/>
  </cols>
  <sheetData>
    <row r="1" spans="1:8" x14ac:dyDescent="0.25">
      <c r="A1" s="37"/>
      <c r="B1" s="121" t="s">
        <v>70</v>
      </c>
      <c r="C1" s="121"/>
      <c r="D1" s="121" t="s">
        <v>71</v>
      </c>
      <c r="E1" s="121"/>
      <c r="F1" s="37"/>
      <c r="G1" s="37"/>
      <c r="H1" s="37"/>
    </row>
    <row r="2" spans="1:8" x14ac:dyDescent="0.25">
      <c r="A2" s="37"/>
      <c r="B2" s="16" t="s">
        <v>60</v>
      </c>
      <c r="C2" s="16" t="s">
        <v>61</v>
      </c>
      <c r="D2" s="16" t="s">
        <v>115</v>
      </c>
      <c r="E2" s="16" t="s">
        <v>66</v>
      </c>
      <c r="F2" s="37"/>
      <c r="G2" s="37"/>
      <c r="H2" s="37"/>
    </row>
    <row r="3" spans="1:8" x14ac:dyDescent="0.25">
      <c r="A3" s="34" t="s">
        <v>45</v>
      </c>
      <c r="B3" s="34" t="s">
        <v>94</v>
      </c>
      <c r="C3" s="51" t="s">
        <v>94</v>
      </c>
      <c r="D3" s="16" t="s">
        <v>94</v>
      </c>
      <c r="E3" s="16" t="s">
        <v>94</v>
      </c>
      <c r="F3" s="34" t="s">
        <v>180</v>
      </c>
      <c r="G3" s="34" t="s">
        <v>178</v>
      </c>
      <c r="H3" s="34" t="s">
        <v>179</v>
      </c>
    </row>
    <row r="4" spans="1:8" x14ac:dyDescent="0.25">
      <c r="A4" s="25" t="s">
        <v>101</v>
      </c>
      <c r="B4" s="46">
        <v>-35.735641264311759</v>
      </c>
      <c r="C4" s="47">
        <v>-82.036429952317789</v>
      </c>
      <c r="D4" s="41">
        <v>-50.24161180981519</v>
      </c>
      <c r="E4" s="42">
        <v>-67.469295969418781</v>
      </c>
      <c r="F4" s="61">
        <f>AVERAGE(B4:C4)</f>
        <v>-58.886035608314771</v>
      </c>
      <c r="G4" s="46">
        <f>AVERAGE(D4:E4)</f>
        <v>-58.855453889616982</v>
      </c>
      <c r="H4" s="47">
        <f>AVERAGE(B4:E4)</f>
        <v>-58.870744748965876</v>
      </c>
    </row>
    <row r="5" spans="1:8" x14ac:dyDescent="0.25">
      <c r="A5" s="22" t="s">
        <v>102</v>
      </c>
      <c r="B5" s="41">
        <v>20.96642423585066</v>
      </c>
      <c r="C5" s="42">
        <v>-12.440570522979389</v>
      </c>
      <c r="D5" s="41">
        <v>-15.474763043587956</v>
      </c>
      <c r="E5" s="42">
        <v>-8.4182753468436964</v>
      </c>
      <c r="F5" s="48">
        <f>AVERAGE(B5:C5)</f>
        <v>4.2629268564356355</v>
      </c>
      <c r="G5" s="41">
        <f>AVERAGE(D5:E5)</f>
        <v>-11.946519195215826</v>
      </c>
      <c r="H5" s="42">
        <f>AVERAGE(B5:E5)</f>
        <v>-3.8417961693900953</v>
      </c>
    </row>
    <row r="6" spans="1:8" x14ac:dyDescent="0.25">
      <c r="A6" s="22" t="s">
        <v>103</v>
      </c>
      <c r="B6" s="41">
        <v>-57.028556965659483</v>
      </c>
      <c r="C6" s="42">
        <v>-54.970203925427811</v>
      </c>
      <c r="D6" s="41">
        <v>-32.058374207897131</v>
      </c>
      <c r="E6" s="42">
        <v>-42.716816495433783</v>
      </c>
      <c r="F6" s="48">
        <f>AVERAGE(B6:C6)</f>
        <v>-55.99938044554365</v>
      </c>
      <c r="G6" s="41">
        <f>AVERAGE(D6:E6)</f>
        <v>-37.387595351665453</v>
      </c>
      <c r="H6" s="42">
        <f>AVERAGE(B6:E6)</f>
        <v>-46.693487898604552</v>
      </c>
    </row>
    <row r="7" spans="1:8" x14ac:dyDescent="0.25">
      <c r="A7" s="22" t="s">
        <v>105</v>
      </c>
      <c r="B7" s="41">
        <v>18.556499864480635</v>
      </c>
      <c r="C7" s="42">
        <v>-79.87963244345724</v>
      </c>
      <c r="D7" s="41">
        <v>-70.722544288257268</v>
      </c>
      <c r="E7" s="42">
        <v>-53.541969861803352</v>
      </c>
      <c r="F7" s="48">
        <f>AVERAGE(B7:C7)</f>
        <v>-30.661566289488302</v>
      </c>
      <c r="G7" s="41">
        <f>AVERAGE(D7:E7)</f>
        <v>-62.13225707503031</v>
      </c>
      <c r="H7" s="42">
        <f>AVERAGE(B7:E7)</f>
        <v>-46.396911682259308</v>
      </c>
    </row>
    <row r="8" spans="1:8" x14ac:dyDescent="0.25">
      <c r="A8" s="22" t="s">
        <v>104</v>
      </c>
      <c r="B8" s="41">
        <v>-11.428571428571429</v>
      </c>
      <c r="C8" s="42">
        <v>-3.0946806012957415</v>
      </c>
      <c r="D8" s="41">
        <v>-23.922621226838395</v>
      </c>
      <c r="E8" s="42">
        <v>-19.141279947416219</v>
      </c>
      <c r="F8" s="48">
        <f>AVERAGE(B8:C8)</f>
        <v>-7.2616260149335847</v>
      </c>
      <c r="G8" s="41">
        <f>AVERAGE(D8:E8)</f>
        <v>-21.531950587127305</v>
      </c>
      <c r="H8" s="42">
        <f>AVERAGE(B8:E8)</f>
        <v>-14.396788301030448</v>
      </c>
    </row>
    <row r="9" spans="1:8" x14ac:dyDescent="0.25">
      <c r="A9" s="22" t="s">
        <v>1</v>
      </c>
      <c r="B9" s="41">
        <v>-99.694507088738789</v>
      </c>
      <c r="C9" s="42">
        <v>-99.87045196856225</v>
      </c>
      <c r="D9" s="41">
        <v>-54.49280185928216</v>
      </c>
      <c r="E9" s="42">
        <v>-68.83179085128441</v>
      </c>
      <c r="F9" s="48">
        <f>AVERAGE(B9:C9)</f>
        <v>-99.782479528650526</v>
      </c>
      <c r="G9" s="41">
        <f>AVERAGE(D9:E9)</f>
        <v>-61.662296355283289</v>
      </c>
      <c r="H9" s="42">
        <f>AVERAGE(B9:E9)</f>
        <v>-80.7223879419669</v>
      </c>
    </row>
    <row r="10" spans="1:8" x14ac:dyDescent="0.25">
      <c r="A10" s="22" t="s">
        <v>2</v>
      </c>
      <c r="B10" s="41">
        <v>-4.8597209035651163</v>
      </c>
      <c r="C10" s="42">
        <v>-27.457627118644062</v>
      </c>
      <c r="D10" s="41">
        <v>-32.034756241091763</v>
      </c>
      <c r="E10" s="42">
        <v>7.123422640562195</v>
      </c>
      <c r="F10" s="48">
        <f>AVERAGE(B10:C10)</f>
        <v>-16.158674011104591</v>
      </c>
      <c r="G10" s="41">
        <f>AVERAGE(D10:E10)</f>
        <v>-12.455666800264783</v>
      </c>
      <c r="H10" s="42">
        <f>AVERAGE(B10:E10)</f>
        <v>-14.307170405684687</v>
      </c>
    </row>
    <row r="11" spans="1:8" x14ac:dyDescent="0.25">
      <c r="A11" s="22" t="s">
        <v>3</v>
      </c>
      <c r="B11" s="41">
        <v>-20.516243880729849</v>
      </c>
      <c r="C11" s="42">
        <v>7.5549813769709138</v>
      </c>
      <c r="D11" s="41">
        <v>-19.626640549694539</v>
      </c>
      <c r="E11" s="42">
        <v>-14.237654604109634</v>
      </c>
      <c r="F11" s="48">
        <f>AVERAGE(B11:C11)</f>
        <v>-6.4806312518794673</v>
      </c>
      <c r="G11" s="41">
        <f>AVERAGE(D11:E11)</f>
        <v>-16.932147576902086</v>
      </c>
      <c r="H11" s="42">
        <f>AVERAGE(B11:E11)</f>
        <v>-11.706389414390777</v>
      </c>
    </row>
    <row r="12" spans="1:8" x14ac:dyDescent="0.25">
      <c r="A12" s="22" t="s">
        <v>4</v>
      </c>
      <c r="B12" s="41">
        <v>-0.51705973697976981</v>
      </c>
      <c r="C12" s="42">
        <v>-11.11873343510306</v>
      </c>
      <c r="D12" s="41">
        <v>-6.610988140650881</v>
      </c>
      <c r="E12" s="42">
        <v>0.36899221720893649</v>
      </c>
      <c r="F12" s="48">
        <f>AVERAGE(B12:C12)</f>
        <v>-5.8178965860414147</v>
      </c>
      <c r="G12" s="41">
        <f>AVERAGE(D12:E12)</f>
        <v>-3.1209979617209722</v>
      </c>
      <c r="H12" s="42">
        <f>AVERAGE(B12:E12)</f>
        <v>-4.469447273881193</v>
      </c>
    </row>
    <row r="13" spans="1:8" x14ac:dyDescent="0.25">
      <c r="A13" s="22" t="s">
        <v>7</v>
      </c>
      <c r="B13" s="41">
        <v>-9.4946401225114911</v>
      </c>
      <c r="C13" s="42">
        <v>2.7830646727519941</v>
      </c>
      <c r="D13" s="41">
        <v>-12.145963043574346</v>
      </c>
      <c r="E13" s="42">
        <v>-5.4339367828868381</v>
      </c>
      <c r="F13" s="48">
        <f>AVERAGE(B13:C13)</f>
        <v>-3.3557877248797485</v>
      </c>
      <c r="G13" s="41">
        <f>AVERAGE(D13:E13)</f>
        <v>-8.7899499132305916</v>
      </c>
      <c r="H13" s="42">
        <f>AVERAGE(B13:E13)</f>
        <v>-6.0728688190551701</v>
      </c>
    </row>
    <row r="14" spans="1:8" x14ac:dyDescent="0.25">
      <c r="A14" s="22" t="s">
        <v>8</v>
      </c>
      <c r="B14" s="41">
        <v>5.571785837919311</v>
      </c>
      <c r="C14" s="42">
        <v>-13.927601674192505</v>
      </c>
      <c r="D14" s="41">
        <v>6.2854586476573342</v>
      </c>
      <c r="E14" s="42">
        <v>22.266984704827092</v>
      </c>
      <c r="F14" s="48">
        <f>AVERAGE(B14:C14)</f>
        <v>-4.1779079181365972</v>
      </c>
      <c r="G14" s="41">
        <f>AVERAGE(D14:E14)</f>
        <v>14.276221676242212</v>
      </c>
      <c r="H14" s="42">
        <f>AVERAGE(B14:E14)</f>
        <v>5.0491568790528074</v>
      </c>
    </row>
    <row r="15" spans="1:8" x14ac:dyDescent="0.25">
      <c r="A15" s="22" t="s">
        <v>10</v>
      </c>
      <c r="B15" s="41">
        <v>31.720601096237672</v>
      </c>
      <c r="C15" s="42">
        <v>8.8875500354338524</v>
      </c>
      <c r="D15" s="41">
        <v>-0.97156495687985234</v>
      </c>
      <c r="E15" s="42">
        <v>-3.2557547171805044</v>
      </c>
      <c r="F15" s="48">
        <f>AVERAGE(B15:C15)</f>
        <v>20.304075565835763</v>
      </c>
      <c r="G15" s="41">
        <f>AVERAGE(D15:E15)</f>
        <v>-2.1136598370301782</v>
      </c>
      <c r="H15" s="42">
        <f>AVERAGE(B15:E15)</f>
        <v>9.0952078644027932</v>
      </c>
    </row>
    <row r="16" spans="1:8" x14ac:dyDescent="0.25">
      <c r="A16" s="22" t="s">
        <v>11</v>
      </c>
      <c r="B16" s="41">
        <v>-66.732861797720261</v>
      </c>
      <c r="C16" s="42">
        <v>64.473710657551806</v>
      </c>
      <c r="D16" s="41">
        <v>-11.092838498995677</v>
      </c>
      <c r="E16" s="42">
        <v>14.034738167735602</v>
      </c>
      <c r="F16" s="48">
        <f>AVERAGE(B16:C16)</f>
        <v>-1.1295755700842278</v>
      </c>
      <c r="G16" s="41">
        <f>AVERAGE(D16:E16)</f>
        <v>1.4709498343699625</v>
      </c>
      <c r="H16" s="42">
        <f>AVERAGE(B16:E16)</f>
        <v>0.17068713214286735</v>
      </c>
    </row>
    <row r="17" spans="1:12" x14ac:dyDescent="0.25">
      <c r="A17" s="22" t="s">
        <v>16</v>
      </c>
      <c r="B17" s="41">
        <v>-18.996168323608817</v>
      </c>
      <c r="C17" s="42">
        <v>-24.717225262197896</v>
      </c>
      <c r="D17" s="41">
        <v>-9.8614657231931773</v>
      </c>
      <c r="E17" s="42">
        <v>-13.176760253988796</v>
      </c>
      <c r="F17" s="48">
        <f>AVERAGE(B17:C17)</f>
        <v>-21.856696792903357</v>
      </c>
      <c r="G17" s="41">
        <f>AVERAGE(D17:E17)</f>
        <v>-11.519112988590987</v>
      </c>
      <c r="H17" s="42">
        <f>AVERAGE(B17:E17)</f>
        <v>-16.68790489074717</v>
      </c>
    </row>
    <row r="18" spans="1:12" x14ac:dyDescent="0.25">
      <c r="A18" s="22" t="s">
        <v>17</v>
      </c>
      <c r="B18" s="41">
        <v>-0.17318276321846177</v>
      </c>
      <c r="C18" s="42">
        <v>-89.011497336289764</v>
      </c>
      <c r="D18" s="41">
        <v>-28.197223834837811</v>
      </c>
      <c r="E18" s="42">
        <v>-16.400320164735195</v>
      </c>
      <c r="F18" s="48">
        <f>AVERAGE(B18:C18)</f>
        <v>-44.592340049754114</v>
      </c>
      <c r="G18" s="41">
        <f>AVERAGE(D18:E18)</f>
        <v>-22.298771999786503</v>
      </c>
      <c r="H18" s="42">
        <f>AVERAGE(B18:E18)</f>
        <v>-33.445556024770312</v>
      </c>
    </row>
    <row r="19" spans="1:12" x14ac:dyDescent="0.25">
      <c r="A19" s="22" t="s">
        <v>20</v>
      </c>
      <c r="B19" s="41">
        <v>101.55554931890553</v>
      </c>
      <c r="C19" s="42">
        <v>-6.3477501092180031</v>
      </c>
      <c r="D19" s="41">
        <v>22.620354517071195</v>
      </c>
      <c r="E19" s="42">
        <v>17.087463273597724</v>
      </c>
      <c r="F19" s="94">
        <f>AVERAGE(B19:C19)</f>
        <v>47.603899604843768</v>
      </c>
      <c r="G19" s="95">
        <f>AVERAGE(D19:E19)</f>
        <v>19.85390889533446</v>
      </c>
      <c r="H19" s="96">
        <f>AVERAGE(B19:E19)</f>
        <v>33.728904250089116</v>
      </c>
    </row>
    <row r="20" spans="1:12" x14ac:dyDescent="0.25">
      <c r="A20" s="22" t="s">
        <v>21</v>
      </c>
      <c r="B20" s="41">
        <v>-3.0656934306569257</v>
      </c>
      <c r="C20" s="42">
        <v>4.840191150003089</v>
      </c>
      <c r="D20" s="41">
        <v>1.1944406736172946</v>
      </c>
      <c r="E20" s="42">
        <v>24.636392387444477</v>
      </c>
      <c r="F20" s="94">
        <f>AVERAGE(B20:C20)</f>
        <v>0.88724885967308165</v>
      </c>
      <c r="G20" s="95">
        <f>AVERAGE(D20:E20)</f>
        <v>12.915416530530885</v>
      </c>
      <c r="H20" s="96">
        <f>AVERAGE(B20:E20)</f>
        <v>6.901332695101984</v>
      </c>
    </row>
    <row r="21" spans="1:12" x14ac:dyDescent="0.25">
      <c r="A21" s="22" t="s">
        <v>23</v>
      </c>
      <c r="B21" s="41">
        <v>113.01979547040794</v>
      </c>
      <c r="C21" s="42">
        <v>127.22653536655271</v>
      </c>
      <c r="D21" s="41">
        <v>108.14735884715225</v>
      </c>
      <c r="E21" s="42">
        <v>6.313651268088452</v>
      </c>
      <c r="F21" s="94">
        <f>AVERAGE(B21:C21)</f>
        <v>120.12316541848033</v>
      </c>
      <c r="G21" s="95">
        <f>AVERAGE(D21:E21)</f>
        <v>57.230505057620348</v>
      </c>
      <c r="H21" s="96">
        <f>AVERAGE(B21:E21)</f>
        <v>88.676835238050344</v>
      </c>
    </row>
    <row r="22" spans="1:12" x14ac:dyDescent="0.25">
      <c r="A22" s="22" t="s">
        <v>25</v>
      </c>
      <c r="B22" s="41">
        <v>-16.289342904472665</v>
      </c>
      <c r="C22" s="42">
        <v>6.6764490095377607</v>
      </c>
      <c r="D22" s="41">
        <v>-10.879512284459478</v>
      </c>
      <c r="E22" s="42">
        <v>25.506813027786102</v>
      </c>
      <c r="F22" s="48">
        <f>AVERAGE(B22:C22)</f>
        <v>-4.8064469474674523</v>
      </c>
      <c r="G22" s="41">
        <f>AVERAGE(D22:E22)</f>
        <v>7.3136503716633117</v>
      </c>
      <c r="H22" s="42">
        <f>AVERAGE(B22:E22)</f>
        <v>1.2536017120979297</v>
      </c>
    </row>
    <row r="23" spans="1:12" x14ac:dyDescent="0.25">
      <c r="A23" s="22" t="s">
        <v>26</v>
      </c>
      <c r="B23" s="41">
        <v>3.7100178730437197</v>
      </c>
      <c r="C23" s="42">
        <v>5.9732234809474605</v>
      </c>
      <c r="D23" s="41">
        <v>-1.6832471500146422</v>
      </c>
      <c r="E23" s="42">
        <v>-3.664432255558562</v>
      </c>
      <c r="F23" s="48">
        <f>AVERAGE(B23:C23)</f>
        <v>4.8416206769955901</v>
      </c>
      <c r="G23" s="41">
        <f>AVERAGE(D23:E23)</f>
        <v>-2.6738397027866023</v>
      </c>
      <c r="H23" s="42">
        <f>AVERAGE(B23:E23)</f>
        <v>1.0838904871044939</v>
      </c>
    </row>
    <row r="24" spans="1:12" x14ac:dyDescent="0.25">
      <c r="A24" s="22" t="s">
        <v>29</v>
      </c>
      <c r="B24" s="41">
        <v>-4.3222272778972037</v>
      </c>
      <c r="C24" s="42">
        <v>10.069101678183609</v>
      </c>
      <c r="D24" s="41">
        <v>-15.348880172918033</v>
      </c>
      <c r="E24" s="42">
        <v>-2.137677012221058</v>
      </c>
      <c r="F24" s="48">
        <f>AVERAGE(B24:C24)</f>
        <v>2.8734372001432025</v>
      </c>
      <c r="G24" s="41">
        <f>AVERAGE(D24:E24)</f>
        <v>-8.7432785925695455</v>
      </c>
      <c r="H24" s="42">
        <f>AVERAGE(B24:E24)</f>
        <v>-2.9349206962131715</v>
      </c>
    </row>
    <row r="25" spans="1:12" x14ac:dyDescent="0.25">
      <c r="A25" s="22" t="s">
        <v>33</v>
      </c>
      <c r="B25" s="41">
        <v>-13.191578894559047</v>
      </c>
      <c r="C25" s="42">
        <v>-80.223986155172128</v>
      </c>
      <c r="D25" s="41">
        <v>-35.275564127352382</v>
      </c>
      <c r="E25" s="42">
        <v>-1.550478246102041</v>
      </c>
      <c r="F25" s="48">
        <f>AVERAGE(B25:C25)</f>
        <v>-46.707782524865586</v>
      </c>
      <c r="G25" s="41">
        <f>AVERAGE(D25:E25)</f>
        <v>-18.41302118672721</v>
      </c>
      <c r="H25" s="42">
        <f>AVERAGE(B25:E25)</f>
        <v>-32.5604018557964</v>
      </c>
    </row>
    <row r="26" spans="1:12" x14ac:dyDescent="0.25">
      <c r="A26" s="22" t="s">
        <v>37</v>
      </c>
      <c r="B26" s="41">
        <v>-13.144329896907223</v>
      </c>
      <c r="C26" s="42">
        <v>15.285714285714302</v>
      </c>
      <c r="D26" s="41">
        <v>4.1901554349277861</v>
      </c>
      <c r="E26" s="42">
        <v>-2.1073997666340034</v>
      </c>
      <c r="F26" s="48">
        <f>AVERAGE(B26:C26)</f>
        <v>1.0706921944035397</v>
      </c>
      <c r="G26" s="41">
        <f>AVERAGE(D26:E26)</f>
        <v>1.0413778341468913</v>
      </c>
      <c r="H26" s="42">
        <f>AVERAGE(B26:E26)</f>
        <v>1.0560350142752155</v>
      </c>
    </row>
    <row r="27" spans="1:12" x14ac:dyDescent="0.25">
      <c r="A27" s="22" t="s">
        <v>39</v>
      </c>
      <c r="B27" s="41">
        <v>-57.888419801255864</v>
      </c>
      <c r="C27" s="42">
        <v>462.26666354195822</v>
      </c>
      <c r="D27" s="41">
        <v>-37.595377957033612</v>
      </c>
      <c r="E27" s="42">
        <v>-32.768318288017461</v>
      </c>
      <c r="F27" s="48">
        <f>AVERAGE(B27:C27)</f>
        <v>202.18912187035119</v>
      </c>
      <c r="G27" s="41">
        <f>AVERAGE(D27:E27)</f>
        <v>-35.181848122525537</v>
      </c>
      <c r="H27" s="42">
        <f>AVERAGE(B27:E27)</f>
        <v>83.503636873912825</v>
      </c>
    </row>
    <row r="28" spans="1:12" x14ac:dyDescent="0.25">
      <c r="A28" s="22" t="s">
        <v>41</v>
      </c>
      <c r="B28" s="41">
        <v>-48.913300364968315</v>
      </c>
      <c r="C28" s="42">
        <v>2.3101483329891002</v>
      </c>
      <c r="D28" s="41">
        <v>-11.485737100892168</v>
      </c>
      <c r="E28" s="42">
        <v>-16.205673464495604</v>
      </c>
      <c r="F28" s="48">
        <f>AVERAGE(B28:C28)</f>
        <v>-23.301576015989607</v>
      </c>
      <c r="G28" s="41">
        <f>AVERAGE(D28:E28)</f>
        <v>-13.845705282693885</v>
      </c>
      <c r="H28" s="42">
        <f>AVERAGE(B28:E28)</f>
        <v>-18.573640649341748</v>
      </c>
    </row>
    <row r="29" spans="1:12" x14ac:dyDescent="0.25">
      <c r="A29" s="21" t="s">
        <v>43</v>
      </c>
      <c r="B29" s="44">
        <v>-4.5517248181025387</v>
      </c>
      <c r="C29" s="45">
        <v>-15.999163256536047</v>
      </c>
      <c r="D29" s="44">
        <v>3.0500236283264974</v>
      </c>
      <c r="E29" s="45">
        <v>6.1824942540299626</v>
      </c>
      <c r="F29" s="49">
        <f>AVERAGE(B29:C29)</f>
        <v>-10.275444037319293</v>
      </c>
      <c r="G29" s="44">
        <f>AVERAGE(D29:E29)</f>
        <v>4.6162589411782298</v>
      </c>
      <c r="H29" s="45">
        <f>AVERAGE(B29:E29)</f>
        <v>-2.829592548070532</v>
      </c>
    </row>
    <row r="32" spans="1:12" x14ac:dyDescent="0.25">
      <c r="A32" s="97" t="s">
        <v>45</v>
      </c>
      <c r="B32" s="98" t="s">
        <v>94</v>
      </c>
      <c r="C32" s="63" t="s">
        <v>198</v>
      </c>
      <c r="D32" s="93" t="s">
        <v>199</v>
      </c>
      <c r="E32" s="93" t="s">
        <v>200</v>
      </c>
      <c r="F32" s="98" t="s">
        <v>180</v>
      </c>
      <c r="G32" s="98" t="s">
        <v>178</v>
      </c>
      <c r="H32" s="63" t="s">
        <v>179</v>
      </c>
      <c r="I32" s="98" t="s">
        <v>124</v>
      </c>
      <c r="J32" s="98" t="s">
        <v>125</v>
      </c>
      <c r="K32" s="98" t="s">
        <v>126</v>
      </c>
      <c r="L32" s="98" t="s">
        <v>123</v>
      </c>
    </row>
    <row r="33" spans="1:12" x14ac:dyDescent="0.25">
      <c r="A33" s="25" t="s">
        <v>1</v>
      </c>
      <c r="B33" s="46">
        <v>-99.694507088738789</v>
      </c>
      <c r="C33" s="47">
        <v>-99.87045196856225</v>
      </c>
      <c r="D33" s="41">
        <v>-54.49280185928216</v>
      </c>
      <c r="E33" s="42">
        <v>-68.83179085128441</v>
      </c>
      <c r="F33" s="61">
        <f>AVERAGE(B33:C33)</f>
        <v>-99.782479528650526</v>
      </c>
      <c r="G33" s="46">
        <f>AVERAGE(D33:E33)</f>
        <v>-61.662296355283289</v>
      </c>
      <c r="H33" s="47">
        <f>AVERAGE(B33:E33)</f>
        <v>-80.7223879419669</v>
      </c>
      <c r="I33" s="30"/>
      <c r="J33" s="30" t="s">
        <v>73</v>
      </c>
      <c r="K33" s="30"/>
      <c r="L33" s="30" t="s">
        <v>73</v>
      </c>
    </row>
    <row r="34" spans="1:12" x14ac:dyDescent="0.25">
      <c r="A34" s="22" t="s">
        <v>105</v>
      </c>
      <c r="B34" s="41">
        <v>18.556499864480635</v>
      </c>
      <c r="C34" s="42">
        <v>-79.87963244345724</v>
      </c>
      <c r="D34" s="41">
        <v>-70.722544288257268</v>
      </c>
      <c r="E34" s="42">
        <v>-53.541969861803352</v>
      </c>
      <c r="F34" s="48">
        <f>AVERAGE(B34:C34)</f>
        <v>-30.661566289488302</v>
      </c>
      <c r="G34" s="41">
        <f>AVERAGE(D34:E34)</f>
        <v>-62.13225707503031</v>
      </c>
      <c r="H34" s="42">
        <f>AVERAGE(B34:E34)</f>
        <v>-46.396911682259308</v>
      </c>
      <c r="I34" s="30" t="s">
        <v>73</v>
      </c>
      <c r="J34" s="30" t="s">
        <v>73</v>
      </c>
      <c r="K34" s="30"/>
      <c r="L34" s="30"/>
    </row>
    <row r="35" spans="1:12" x14ac:dyDescent="0.25">
      <c r="A35" s="22" t="s">
        <v>101</v>
      </c>
      <c r="B35" s="41">
        <v>-35.735641264311759</v>
      </c>
      <c r="C35" s="42">
        <v>-82.036429952317789</v>
      </c>
      <c r="D35" s="41">
        <v>-50.24161180981519</v>
      </c>
      <c r="E35" s="42">
        <v>-67.469295969418781</v>
      </c>
      <c r="F35" s="48">
        <f>AVERAGE(B35:C35)</f>
        <v>-58.886035608314771</v>
      </c>
      <c r="G35" s="41">
        <f>AVERAGE(D35:E35)</f>
        <v>-58.855453889616982</v>
      </c>
      <c r="H35" s="42">
        <f>AVERAGE(B35:E35)</f>
        <v>-58.870744748965876</v>
      </c>
      <c r="I35" s="30"/>
      <c r="J35" s="30"/>
      <c r="K35" s="30"/>
      <c r="L35" s="30" t="s">
        <v>73</v>
      </c>
    </row>
    <row r="36" spans="1:12" x14ac:dyDescent="0.25">
      <c r="A36" s="22" t="s">
        <v>33</v>
      </c>
      <c r="B36" s="41">
        <v>-13.191578894559047</v>
      </c>
      <c r="C36" s="42">
        <v>-80.223986155172128</v>
      </c>
      <c r="D36" s="41">
        <v>-35.275564127352382</v>
      </c>
      <c r="E36" s="42">
        <v>-1.550478246102041</v>
      </c>
      <c r="F36" s="48">
        <f>AVERAGE(B36:C36)</f>
        <v>-46.707782524865586</v>
      </c>
      <c r="G36" s="41">
        <f>AVERAGE(D36:E36)</f>
        <v>-18.41302118672721</v>
      </c>
      <c r="H36" s="42">
        <f>AVERAGE(B36:E36)</f>
        <v>-32.5604018557964</v>
      </c>
      <c r="I36" s="30"/>
      <c r="J36" s="30"/>
      <c r="K36" s="30"/>
      <c r="L36" s="22" t="s">
        <v>73</v>
      </c>
    </row>
    <row r="37" spans="1:12" x14ac:dyDescent="0.25">
      <c r="A37" s="22" t="s">
        <v>103</v>
      </c>
      <c r="B37" s="41">
        <v>-57.028556965659483</v>
      </c>
      <c r="C37" s="42">
        <v>-54.970203925427811</v>
      </c>
      <c r="D37" s="41">
        <v>-32.058374207897131</v>
      </c>
      <c r="E37" s="42">
        <v>-42.716816495433783</v>
      </c>
      <c r="F37" s="48">
        <f>AVERAGE(B37:C37)</f>
        <v>-55.99938044554365</v>
      </c>
      <c r="G37" s="41">
        <f>AVERAGE(D37:E37)</f>
        <v>-37.387595351665453</v>
      </c>
      <c r="H37" s="42">
        <f>AVERAGE(B37:E37)</f>
        <v>-46.693487898604552</v>
      </c>
      <c r="I37" s="30" t="s">
        <v>73</v>
      </c>
      <c r="J37" s="30" t="s">
        <v>73</v>
      </c>
      <c r="K37" s="30"/>
      <c r="L37" s="30"/>
    </row>
    <row r="38" spans="1:12" x14ac:dyDescent="0.25">
      <c r="A38" s="22" t="s">
        <v>2</v>
      </c>
      <c r="B38" s="41">
        <v>-4.8597209035651163</v>
      </c>
      <c r="C38" s="42">
        <v>-27.457627118644062</v>
      </c>
      <c r="D38" s="41">
        <v>-32.034756241091763</v>
      </c>
      <c r="E38" s="42">
        <v>7.123422640562195</v>
      </c>
      <c r="F38" s="48">
        <f>AVERAGE(B38:C38)</f>
        <v>-16.158674011104591</v>
      </c>
      <c r="G38" s="41">
        <f>AVERAGE(D38:E38)</f>
        <v>-12.455666800264783</v>
      </c>
      <c r="H38" s="42">
        <f>AVERAGE(B38:E38)</f>
        <v>-14.307170405684687</v>
      </c>
      <c r="I38" s="30" t="s">
        <v>73</v>
      </c>
      <c r="J38" s="30"/>
      <c r="K38" s="30"/>
      <c r="L38" s="30" t="s">
        <v>73</v>
      </c>
    </row>
    <row r="39" spans="1:12" x14ac:dyDescent="0.25">
      <c r="A39" s="22" t="s">
        <v>17</v>
      </c>
      <c r="B39" s="41">
        <v>-0.17318276321846177</v>
      </c>
      <c r="C39" s="42">
        <v>-89.011497336289764</v>
      </c>
      <c r="D39" s="41">
        <v>-28.197223834837811</v>
      </c>
      <c r="E39" s="42">
        <v>-16.400320164735195</v>
      </c>
      <c r="F39" s="48">
        <f>AVERAGE(B39:C39)</f>
        <v>-44.592340049754114</v>
      </c>
      <c r="G39" s="41">
        <f>AVERAGE(D39:E39)</f>
        <v>-22.298771999786503</v>
      </c>
      <c r="H39" s="42">
        <f>AVERAGE(B39:E39)</f>
        <v>-33.445556024770312</v>
      </c>
      <c r="I39" s="30"/>
      <c r="J39" s="30" t="s">
        <v>73</v>
      </c>
      <c r="K39" s="30"/>
      <c r="L39" s="30" t="s">
        <v>73</v>
      </c>
    </row>
    <row r="40" spans="1:12" x14ac:dyDescent="0.25">
      <c r="A40" s="22" t="s">
        <v>41</v>
      </c>
      <c r="B40" s="41">
        <v>-48.913300364968315</v>
      </c>
      <c r="C40" s="42">
        <v>2.3101483329891002</v>
      </c>
      <c r="D40" s="41">
        <v>-11.485737100892168</v>
      </c>
      <c r="E40" s="42">
        <v>-16.205673464495604</v>
      </c>
      <c r="F40" s="48">
        <f>AVERAGE(B40:C40)</f>
        <v>-23.301576015989607</v>
      </c>
      <c r="G40" s="41">
        <f>AVERAGE(D40:E40)</f>
        <v>-13.845705282693885</v>
      </c>
      <c r="H40" s="42">
        <f>AVERAGE(B40:E40)</f>
        <v>-18.573640649341748</v>
      </c>
      <c r="I40" s="30"/>
      <c r="J40" s="30" t="s">
        <v>73</v>
      </c>
      <c r="K40" s="30"/>
      <c r="L40" s="22"/>
    </row>
    <row r="41" spans="1:12" x14ac:dyDescent="0.25">
      <c r="A41" s="22" t="s">
        <v>4</v>
      </c>
      <c r="B41" s="41">
        <v>-0.51705973697976981</v>
      </c>
      <c r="C41" s="42">
        <v>-11.11873343510306</v>
      </c>
      <c r="D41" s="41">
        <v>-6.610988140650881</v>
      </c>
      <c r="E41" s="42">
        <v>0.36899221720893649</v>
      </c>
      <c r="F41" s="48">
        <f>AVERAGE(B41:C41)</f>
        <v>-5.8178965860414147</v>
      </c>
      <c r="G41" s="41">
        <f>AVERAGE(D41:E41)</f>
        <v>-3.1209979617209722</v>
      </c>
      <c r="H41" s="42">
        <f>AVERAGE(B41:E41)</f>
        <v>-4.469447273881193</v>
      </c>
      <c r="I41" s="30" t="s">
        <v>73</v>
      </c>
      <c r="J41" s="30"/>
      <c r="K41" s="30"/>
      <c r="L41" s="30" t="s">
        <v>73</v>
      </c>
    </row>
    <row r="42" spans="1:12" x14ac:dyDescent="0.25">
      <c r="A42" s="22" t="s">
        <v>102</v>
      </c>
      <c r="B42" s="41">
        <v>20.96642423585066</v>
      </c>
      <c r="C42" s="42">
        <v>-12.440570522979389</v>
      </c>
      <c r="D42" s="41">
        <v>-15.474763043587956</v>
      </c>
      <c r="E42" s="42">
        <v>-8.4182753468436964</v>
      </c>
      <c r="F42" s="48">
        <f>AVERAGE(B42:C42)</f>
        <v>4.2629268564356355</v>
      </c>
      <c r="G42" s="41">
        <f>AVERAGE(D42:E42)</f>
        <v>-11.946519195215826</v>
      </c>
      <c r="H42" s="42">
        <f>AVERAGE(B42:E42)</f>
        <v>-3.8417961693900953</v>
      </c>
      <c r="I42" s="30"/>
      <c r="J42" s="30" t="s">
        <v>73</v>
      </c>
      <c r="K42" s="30"/>
      <c r="L42" s="30"/>
    </row>
    <row r="43" spans="1:12" x14ac:dyDescent="0.25">
      <c r="A43" s="22" t="s">
        <v>3</v>
      </c>
      <c r="B43" s="41">
        <v>-20.516243880729849</v>
      </c>
      <c r="C43" s="42">
        <v>7.5549813769709138</v>
      </c>
      <c r="D43" s="41">
        <v>-19.626640549694539</v>
      </c>
      <c r="E43" s="42">
        <v>-14.237654604109634</v>
      </c>
      <c r="F43" s="48">
        <f>AVERAGE(B43:C43)</f>
        <v>-6.4806312518794673</v>
      </c>
      <c r="G43" s="41">
        <f>AVERAGE(D43:E43)</f>
        <v>-16.932147576902086</v>
      </c>
      <c r="H43" s="42">
        <f>AVERAGE(B43:E43)</f>
        <v>-11.706389414390777</v>
      </c>
      <c r="I43" s="30"/>
      <c r="J43" s="30" t="s">
        <v>73</v>
      </c>
      <c r="K43" s="30"/>
      <c r="L43" s="30"/>
    </row>
    <row r="44" spans="1:12" x14ac:dyDescent="0.25">
      <c r="A44" s="22" t="s">
        <v>16</v>
      </c>
      <c r="B44" s="41">
        <v>-18.996168323608817</v>
      </c>
      <c r="C44" s="42">
        <v>-24.717225262197896</v>
      </c>
      <c r="D44" s="41">
        <v>-9.8614657231931773</v>
      </c>
      <c r="E44" s="42">
        <v>-13.176760253988796</v>
      </c>
      <c r="F44" s="48">
        <f>AVERAGE(B44:C44)</f>
        <v>-21.856696792903357</v>
      </c>
      <c r="G44" s="41">
        <f>AVERAGE(D44:E44)</f>
        <v>-11.519112988590987</v>
      </c>
      <c r="H44" s="42">
        <f>AVERAGE(B44:E44)</f>
        <v>-16.68790489074717</v>
      </c>
      <c r="I44" s="30"/>
      <c r="J44" s="30" t="s">
        <v>73</v>
      </c>
      <c r="K44" s="30"/>
      <c r="L44" s="30" t="s">
        <v>73</v>
      </c>
    </row>
    <row r="45" spans="1:12" x14ac:dyDescent="0.25">
      <c r="A45" s="22" t="s">
        <v>104</v>
      </c>
      <c r="B45" s="41">
        <v>-11.428571428571429</v>
      </c>
      <c r="C45" s="42">
        <v>-3.0946806012957415</v>
      </c>
      <c r="D45" s="41">
        <v>-23.922621226838395</v>
      </c>
      <c r="E45" s="42">
        <v>-19.141279947416219</v>
      </c>
      <c r="F45" s="48">
        <f>AVERAGE(B45:C45)</f>
        <v>-7.2616260149335847</v>
      </c>
      <c r="G45" s="41">
        <f>AVERAGE(D45:E45)</f>
        <v>-21.531950587127305</v>
      </c>
      <c r="H45" s="42">
        <f>AVERAGE(B45:E45)</f>
        <v>-14.396788301030448</v>
      </c>
      <c r="I45" s="30"/>
      <c r="J45" s="30" t="s">
        <v>73</v>
      </c>
      <c r="K45" s="30"/>
      <c r="L45" s="30"/>
    </row>
    <row r="46" spans="1:12" x14ac:dyDescent="0.25">
      <c r="A46" s="22" t="s">
        <v>29</v>
      </c>
      <c r="B46" s="41">
        <v>-4.3222272778972037</v>
      </c>
      <c r="C46" s="42">
        <v>10.069101678183609</v>
      </c>
      <c r="D46" s="41">
        <v>-15.348880172918033</v>
      </c>
      <c r="E46" s="42">
        <v>-2.137677012221058</v>
      </c>
      <c r="F46" s="48">
        <f>AVERAGE(B46:C46)</f>
        <v>2.8734372001432025</v>
      </c>
      <c r="G46" s="41">
        <f>AVERAGE(D46:E46)</f>
        <v>-8.7432785925695455</v>
      </c>
      <c r="H46" s="42">
        <f>AVERAGE(B46:E46)</f>
        <v>-2.9349206962131715</v>
      </c>
      <c r="I46" s="30"/>
      <c r="J46" s="30"/>
      <c r="K46" s="30"/>
      <c r="L46" s="22" t="s">
        <v>73</v>
      </c>
    </row>
    <row r="47" spans="1:12" x14ac:dyDescent="0.25">
      <c r="A47" s="22" t="s">
        <v>25</v>
      </c>
      <c r="B47" s="41">
        <v>-16.289342904472665</v>
      </c>
      <c r="C47" s="42">
        <v>6.6764490095377607</v>
      </c>
      <c r="D47" s="41">
        <v>-10.879512284459478</v>
      </c>
      <c r="E47" s="42">
        <v>25.506813027786102</v>
      </c>
      <c r="F47" s="48">
        <f>AVERAGE(B47:C47)</f>
        <v>-4.8064469474674523</v>
      </c>
      <c r="G47" s="41">
        <f>AVERAGE(D47:E47)</f>
        <v>7.3136503716633117</v>
      </c>
      <c r="H47" s="42">
        <f>AVERAGE(B47:E47)</f>
        <v>1.2536017120979297</v>
      </c>
      <c r="I47" s="30"/>
      <c r="J47" s="30" t="s">
        <v>73</v>
      </c>
      <c r="K47" s="30"/>
      <c r="L47" s="22"/>
    </row>
    <row r="48" spans="1:12" x14ac:dyDescent="0.25">
      <c r="A48" s="22" t="s">
        <v>43</v>
      </c>
      <c r="B48" s="41">
        <v>-4.5517248181025387</v>
      </c>
      <c r="C48" s="42">
        <v>-15.999163256536047</v>
      </c>
      <c r="D48" s="41">
        <v>3.0500236283264974</v>
      </c>
      <c r="E48" s="42">
        <v>6.1824942540299626</v>
      </c>
      <c r="F48" s="48">
        <f>AVERAGE(B48:C48)</f>
        <v>-10.275444037319293</v>
      </c>
      <c r="G48" s="41">
        <f>AVERAGE(D48:E48)</f>
        <v>4.6162589411782298</v>
      </c>
      <c r="H48" s="42">
        <f>AVERAGE(B48:E48)</f>
        <v>-2.829592548070532</v>
      </c>
      <c r="I48" s="30"/>
      <c r="J48" s="30" t="s">
        <v>73</v>
      </c>
      <c r="K48" s="30"/>
      <c r="L48" s="22"/>
    </row>
    <row r="49" spans="1:12" x14ac:dyDescent="0.25">
      <c r="A49" s="22" t="s">
        <v>26</v>
      </c>
      <c r="B49" s="41">
        <v>3.7100178730437197</v>
      </c>
      <c r="C49" s="42">
        <v>5.9732234809474605</v>
      </c>
      <c r="D49" s="41">
        <v>-1.6832471500146422</v>
      </c>
      <c r="E49" s="42">
        <v>-3.664432255558562</v>
      </c>
      <c r="F49" s="48">
        <f>AVERAGE(B49:C49)</f>
        <v>4.8416206769955901</v>
      </c>
      <c r="G49" s="41">
        <f>AVERAGE(D49:E49)</f>
        <v>-2.6738397027866023</v>
      </c>
      <c r="H49" s="42">
        <f>AVERAGE(B49:E49)</f>
        <v>1.0838904871044939</v>
      </c>
      <c r="I49" s="30"/>
      <c r="J49" s="30" t="s">
        <v>73</v>
      </c>
      <c r="K49" s="30"/>
      <c r="L49" s="22"/>
    </row>
    <row r="50" spans="1:12" x14ac:dyDescent="0.25">
      <c r="A50" s="22" t="s">
        <v>10</v>
      </c>
      <c r="B50" s="41">
        <v>31.720601096237672</v>
      </c>
      <c r="C50" s="42">
        <v>8.8875500354338524</v>
      </c>
      <c r="D50" s="41">
        <v>-0.97156495687985234</v>
      </c>
      <c r="E50" s="42">
        <v>-3.2557547171805044</v>
      </c>
      <c r="F50" s="48">
        <f>AVERAGE(B50:C50)</f>
        <v>20.304075565835763</v>
      </c>
      <c r="G50" s="41">
        <f>AVERAGE(D50:E50)</f>
        <v>-2.1136598370301782</v>
      </c>
      <c r="H50" s="42">
        <f>AVERAGE(B50:E50)</f>
        <v>9.0952078644027932</v>
      </c>
      <c r="I50" s="30"/>
      <c r="J50" s="30" t="s">
        <v>73</v>
      </c>
      <c r="K50" s="30"/>
      <c r="L50" s="30" t="s">
        <v>73</v>
      </c>
    </row>
    <row r="51" spans="1:12" x14ac:dyDescent="0.25">
      <c r="A51" s="22" t="s">
        <v>8</v>
      </c>
      <c r="B51" s="41">
        <v>5.571785837919311</v>
      </c>
      <c r="C51" s="42">
        <v>-13.927601674192505</v>
      </c>
      <c r="D51" s="41">
        <v>6.2854586476573342</v>
      </c>
      <c r="E51" s="42">
        <v>22.266984704827092</v>
      </c>
      <c r="F51" s="48">
        <f>AVERAGE(B51:C51)</f>
        <v>-4.1779079181365972</v>
      </c>
      <c r="G51" s="41">
        <f>AVERAGE(D51:E51)</f>
        <v>14.276221676242212</v>
      </c>
      <c r="H51" s="42">
        <f>AVERAGE(B51:E51)</f>
        <v>5.0491568790528074</v>
      </c>
      <c r="I51" s="30"/>
      <c r="J51" s="30"/>
      <c r="K51" s="30" t="s">
        <v>73</v>
      </c>
      <c r="L51" s="30"/>
    </row>
    <row r="52" spans="1:12" x14ac:dyDescent="0.25">
      <c r="A52" s="22" t="s">
        <v>37</v>
      </c>
      <c r="B52" s="41">
        <v>-13.144329896907223</v>
      </c>
      <c r="C52" s="42">
        <v>15.285714285714302</v>
      </c>
      <c r="D52" s="41">
        <v>4.1901554349277861</v>
      </c>
      <c r="E52" s="42">
        <v>-2.1073997666340034</v>
      </c>
      <c r="F52" s="48">
        <f>AVERAGE(B52:C52)</f>
        <v>1.0706921944035397</v>
      </c>
      <c r="G52" s="41">
        <f>AVERAGE(D52:E52)</f>
        <v>1.0413778341468913</v>
      </c>
      <c r="H52" s="42">
        <f>AVERAGE(B52:E52)</f>
        <v>1.0560350142752155</v>
      </c>
      <c r="I52" s="30"/>
      <c r="J52" s="30"/>
      <c r="K52" s="30" t="s">
        <v>73</v>
      </c>
      <c r="L52" s="22"/>
    </row>
    <row r="53" spans="1:12" x14ac:dyDescent="0.25">
      <c r="A53" s="22" t="s">
        <v>7</v>
      </c>
      <c r="B53" s="41">
        <v>-9.4946401225114911</v>
      </c>
      <c r="C53" s="42">
        <v>2.7830646727519941</v>
      </c>
      <c r="D53" s="41">
        <v>-12.145963043574346</v>
      </c>
      <c r="E53" s="42">
        <v>-5.4339367828868381</v>
      </c>
      <c r="F53" s="48">
        <f>AVERAGE(B53:C53)</f>
        <v>-3.3557877248797485</v>
      </c>
      <c r="G53" s="41">
        <f>AVERAGE(D53:E53)</f>
        <v>-8.7899499132305916</v>
      </c>
      <c r="H53" s="42">
        <f>AVERAGE(B53:E53)</f>
        <v>-6.0728688190551701</v>
      </c>
      <c r="I53" s="30"/>
      <c r="J53" s="30"/>
      <c r="K53" s="30" t="s">
        <v>73</v>
      </c>
      <c r="L53" s="30"/>
    </row>
    <row r="54" spans="1:12" x14ac:dyDescent="0.25">
      <c r="A54" s="22" t="s">
        <v>21</v>
      </c>
      <c r="B54" s="41">
        <v>-3.0656934306569257</v>
      </c>
      <c r="C54" s="42">
        <v>4.840191150003089</v>
      </c>
      <c r="D54" s="41">
        <v>1.1944406736172946</v>
      </c>
      <c r="E54" s="42">
        <v>24.636392387444477</v>
      </c>
      <c r="F54" s="94">
        <f>AVERAGE(B54:C54)</f>
        <v>0.88724885967308165</v>
      </c>
      <c r="G54" s="95">
        <f>AVERAGE(D54:E54)</f>
        <v>12.915416530530885</v>
      </c>
      <c r="H54" s="96">
        <f>AVERAGE(B54:E54)</f>
        <v>6.901332695101984</v>
      </c>
      <c r="I54" s="30"/>
      <c r="J54" s="30"/>
      <c r="K54" s="30" t="s">
        <v>73</v>
      </c>
      <c r="L54" s="22"/>
    </row>
    <row r="55" spans="1:12" x14ac:dyDescent="0.25">
      <c r="A55" s="22" t="s">
        <v>11</v>
      </c>
      <c r="B55" s="41">
        <v>-66.732861797720261</v>
      </c>
      <c r="C55" s="42">
        <v>64.473710657551806</v>
      </c>
      <c r="D55" s="41">
        <v>-11.092838498995677</v>
      </c>
      <c r="E55" s="42">
        <v>14.034738167735602</v>
      </c>
      <c r="F55" s="48">
        <f>AVERAGE(B55:C55)</f>
        <v>-1.1295755700842278</v>
      </c>
      <c r="G55" s="41">
        <f>AVERAGE(D55:E55)</f>
        <v>1.4709498343699625</v>
      </c>
      <c r="H55" s="42">
        <f>AVERAGE(B55:E55)</f>
        <v>0.17068713214286735</v>
      </c>
      <c r="I55" s="30"/>
      <c r="J55" s="30" t="s">
        <v>73</v>
      </c>
      <c r="K55" s="30"/>
      <c r="L55" s="30" t="s">
        <v>73</v>
      </c>
    </row>
    <row r="56" spans="1:12" x14ac:dyDescent="0.25">
      <c r="A56" s="22" t="s">
        <v>20</v>
      </c>
      <c r="B56" s="41">
        <v>101.55554931890553</v>
      </c>
      <c r="C56" s="42">
        <v>-6.3477501092180031</v>
      </c>
      <c r="D56" s="41">
        <v>22.620354517071195</v>
      </c>
      <c r="E56" s="42">
        <v>17.087463273597724</v>
      </c>
      <c r="F56" s="94">
        <f>AVERAGE(B56:C56)</f>
        <v>47.603899604843768</v>
      </c>
      <c r="G56" s="95">
        <f>AVERAGE(D56:E56)</f>
        <v>19.85390889533446</v>
      </c>
      <c r="H56" s="96">
        <f>AVERAGE(B56:E56)</f>
        <v>33.728904250089116</v>
      </c>
      <c r="I56" s="30"/>
      <c r="J56" s="30"/>
      <c r="K56" s="30"/>
      <c r="L56" s="22" t="s">
        <v>73</v>
      </c>
    </row>
    <row r="57" spans="1:12" x14ac:dyDescent="0.25">
      <c r="A57" s="22" t="s">
        <v>39</v>
      </c>
      <c r="B57" s="41">
        <v>-57.888419801255864</v>
      </c>
      <c r="C57" s="42">
        <v>462.26666354195822</v>
      </c>
      <c r="D57" s="41">
        <v>-37.595377957033612</v>
      </c>
      <c r="E57" s="42">
        <v>-32.768318288017461</v>
      </c>
      <c r="F57" s="48">
        <f>AVERAGE(B57:C57)</f>
        <v>202.18912187035119</v>
      </c>
      <c r="G57" s="41">
        <f>AVERAGE(D57:E57)</f>
        <v>-35.181848122525537</v>
      </c>
      <c r="H57" s="42">
        <f>AVERAGE(B57:E57)</f>
        <v>83.503636873912825</v>
      </c>
      <c r="I57" s="30"/>
      <c r="J57" s="30" t="s">
        <v>73</v>
      </c>
      <c r="K57" s="30"/>
      <c r="L57" s="22"/>
    </row>
    <row r="58" spans="1:12" x14ac:dyDescent="0.25">
      <c r="A58" s="21" t="s">
        <v>23</v>
      </c>
      <c r="B58" s="44">
        <v>113.01979547040794</v>
      </c>
      <c r="C58" s="45">
        <v>127.22653536655271</v>
      </c>
      <c r="D58" s="44">
        <v>108.14735884715225</v>
      </c>
      <c r="E58" s="45">
        <v>6.313651268088452</v>
      </c>
      <c r="F58" s="99">
        <f>AVERAGE(B58:C58)</f>
        <v>120.12316541848033</v>
      </c>
      <c r="G58" s="100">
        <f>AVERAGE(D58:E58)</f>
        <v>57.230505057620348</v>
      </c>
      <c r="H58" s="101">
        <f>AVERAGE(B58:E58)</f>
        <v>88.676835238050344</v>
      </c>
      <c r="I58" s="31"/>
      <c r="J58" s="31" t="s">
        <v>73</v>
      </c>
      <c r="K58" s="31"/>
      <c r="L58" s="21"/>
    </row>
  </sheetData>
  <mergeCells count="2">
    <mergeCell ref="B1:C1"/>
    <mergeCell ref="D1:E1"/>
  </mergeCells>
  <phoneticPr fontId="2" type="noConversion"/>
  <conditionalFormatting sqref="B4:E29">
    <cfRule type="expression" dxfId="13" priority="15">
      <formula>AND(B4 &gt; -3, B4 &lt; 3)</formula>
    </cfRule>
    <cfRule type="expression" dxfId="12" priority="16">
      <formula>AND(B4 &gt; -25, B4 &lt;= -3)</formula>
    </cfRule>
    <cfRule type="expression" dxfId="11" priority="17">
      <formula>AND(B4 &gt; -75, B4 &lt;= -25)</formula>
    </cfRule>
    <cfRule type="expression" dxfId="10" priority="18">
      <formula>B4 &lt;= -75</formula>
    </cfRule>
    <cfRule type="expression" dxfId="9" priority="19">
      <formula>AND(B4 &lt; 25, B4 &gt;= 3)</formula>
    </cfRule>
    <cfRule type="expression" dxfId="8" priority="20">
      <formula>AND(B4 &lt; 75, B4 &gt;= 25)</formula>
    </cfRule>
    <cfRule type="expression" dxfId="7" priority="21">
      <formula>B4 &gt;= 75</formula>
    </cfRule>
  </conditionalFormatting>
  <conditionalFormatting sqref="B33:E58">
    <cfRule type="expression" dxfId="6" priority="1">
      <formula>AND(B33 &gt; -3, B33 &lt; 3)</formula>
    </cfRule>
    <cfRule type="expression" dxfId="5" priority="2">
      <formula>AND(B33 &gt; -25, B33 &lt;= -3)</formula>
    </cfRule>
    <cfRule type="expression" dxfId="4" priority="3">
      <formula>AND(B33 &gt; -75, B33 &lt;= -25)</formula>
    </cfRule>
    <cfRule type="expression" dxfId="3" priority="4">
      <formula>B33 &lt;= -75</formula>
    </cfRule>
    <cfRule type="expression" dxfId="2" priority="5">
      <formula>AND(B33 &lt; 25, B33 &gt;= 3)</formula>
    </cfRule>
    <cfRule type="expression" dxfId="1" priority="6">
      <formula>AND(B33 &lt; 75, B33 &gt;= 25)</formula>
    </cfRule>
    <cfRule type="expression" dxfId="0" priority="7">
      <formula>B33 &gt;= 75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Implementation</vt:lpstr>
      <vt:lpstr>Techniques</vt:lpstr>
      <vt:lpstr>C Impact of Technique</vt:lpstr>
      <vt:lpstr>C Technique results</vt:lpstr>
      <vt:lpstr>C Impact of Optimization</vt:lpstr>
      <vt:lpstr>C Optimization results</vt:lpstr>
      <vt:lpstr>Python Impact of Technique</vt:lpstr>
      <vt:lpstr>Python Technique results</vt:lpstr>
      <vt:lpstr>Python Impact of Optimization</vt:lpstr>
      <vt:lpstr>Python Optimization results</vt:lpstr>
      <vt:lpstr>Stats</vt:lpstr>
      <vt:lpstr>Technique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Olivia Poy</dc:creator>
  <cp:keywords/>
  <dc:description/>
  <cp:lastModifiedBy>Carlos Pulido Hernández</cp:lastModifiedBy>
  <cp:revision/>
  <cp:lastPrinted>2025-05-28T06:36:09Z</cp:lastPrinted>
  <dcterms:created xsi:type="dcterms:W3CDTF">2015-06-05T18:19:34Z</dcterms:created>
  <dcterms:modified xsi:type="dcterms:W3CDTF">2026-01-28T09:24:24Z</dcterms:modified>
  <cp:category/>
  <cp:contentStatus/>
</cp:coreProperties>
</file>